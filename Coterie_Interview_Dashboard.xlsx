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idan\AppData\Local\Temp\claude\C--Users-aidan-OneDrive---Soul-ways-Claude-Volleyball-Claude\160bf24f-c62b-43c2-99be-05d7e4386612\scratchpad\"/>
    </mc:Choice>
  </mc:AlternateContent>
  <xr:revisionPtr revIDLastSave="0" documentId="8_{A33EEA83-71A6-4377-B651-D4CD8BB7082F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Raw Data" sheetId="1" r:id="rId1"/>
    <sheet name="Dashboard" sheetId="2" r:id="rId2"/>
    <sheet name="Char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2" l="1"/>
  <c r="B68" i="2"/>
  <c r="B67" i="2"/>
  <c r="B66" i="2"/>
  <c r="B65" i="2"/>
  <c r="B64" i="2"/>
  <c r="B63" i="2"/>
  <c r="G57" i="2"/>
  <c r="G56" i="2"/>
  <c r="B56" i="2"/>
  <c r="C56" i="2" s="1"/>
  <c r="G55" i="2"/>
  <c r="B55" i="2"/>
  <c r="C55" i="2" s="1"/>
  <c r="G54" i="2"/>
  <c r="B54" i="2"/>
  <c r="C54" i="2" s="1"/>
  <c r="B53" i="2"/>
  <c r="C53" i="2" s="1"/>
  <c r="B52" i="2"/>
  <c r="C52" i="2" s="1"/>
  <c r="G51" i="2"/>
  <c r="H51" i="2" s="1"/>
  <c r="B51" i="2"/>
  <c r="C51" i="2" s="1"/>
  <c r="G50" i="2"/>
  <c r="H50" i="2" s="1"/>
  <c r="B50" i="2"/>
  <c r="C50" i="2" s="1"/>
  <c r="G49" i="2"/>
  <c r="H49" i="2" s="1"/>
  <c r="B49" i="2"/>
  <c r="C49" i="2" s="1"/>
  <c r="G48" i="2"/>
  <c r="H48" i="2" s="1"/>
  <c r="B48" i="2"/>
  <c r="C48" i="2" s="1"/>
  <c r="G47" i="2"/>
  <c r="H47" i="2" s="1"/>
  <c r="B47" i="2"/>
  <c r="C47" i="2" s="1"/>
  <c r="G46" i="2"/>
  <c r="H46" i="2" s="1"/>
  <c r="G45" i="2"/>
  <c r="H45" i="2" s="1"/>
  <c r="G44" i="2"/>
  <c r="H44" i="2" s="1"/>
  <c r="G43" i="2"/>
  <c r="H43" i="2" s="1"/>
  <c r="G42" i="2"/>
  <c r="H42" i="2" s="1"/>
  <c r="B42" i="2"/>
  <c r="C42" i="2" s="1"/>
  <c r="G41" i="2"/>
  <c r="H41" i="2" s="1"/>
  <c r="B41" i="2"/>
  <c r="C41" i="2" s="1"/>
  <c r="G36" i="2"/>
  <c r="B36" i="2"/>
  <c r="C36" i="2" s="1"/>
  <c r="G35" i="2"/>
  <c r="B35" i="2"/>
  <c r="C35" i="2" s="1"/>
  <c r="G34" i="2"/>
  <c r="H34" i="2" s="1"/>
  <c r="B34" i="2"/>
  <c r="C34" i="2" s="1"/>
  <c r="G33" i="2"/>
  <c r="H33" i="2" s="1"/>
  <c r="B33" i="2"/>
  <c r="C33" i="2" s="1"/>
  <c r="G32" i="2"/>
  <c r="H32" i="2" s="1"/>
  <c r="G31" i="2"/>
  <c r="H31" i="2" s="1"/>
  <c r="G30" i="2"/>
  <c r="H30" i="2" s="1"/>
  <c r="G29" i="2"/>
  <c r="H29" i="2" s="1"/>
  <c r="B29" i="2"/>
  <c r="B28" i="2"/>
  <c r="B27" i="2"/>
  <c r="B26" i="2"/>
  <c r="G25" i="2"/>
  <c r="H25" i="2" s="1"/>
  <c r="B25" i="2"/>
  <c r="G24" i="2"/>
  <c r="H24" i="2" s="1"/>
  <c r="G23" i="2"/>
  <c r="H23" i="2" s="1"/>
  <c r="B21" i="2"/>
  <c r="B20" i="2"/>
  <c r="C20" i="2" s="1"/>
  <c r="G19" i="2"/>
  <c r="H19" i="2" s="1"/>
  <c r="B19" i="2"/>
  <c r="C19" i="2" s="1"/>
  <c r="G18" i="2"/>
  <c r="H18" i="2" s="1"/>
  <c r="B18" i="2"/>
  <c r="C18" i="2" s="1"/>
  <c r="G17" i="2"/>
  <c r="H17" i="2" s="1"/>
  <c r="B17" i="2"/>
  <c r="C17" i="2" s="1"/>
  <c r="G16" i="2"/>
  <c r="H16" i="2" s="1"/>
  <c r="B16" i="2"/>
  <c r="C16" i="2" s="1"/>
  <c r="G15" i="2"/>
  <c r="H15" i="2" s="1"/>
  <c r="B15" i="2"/>
  <c r="C15" i="2" s="1"/>
  <c r="B43" i="2" l="1"/>
  <c r="C43" i="2" s="1"/>
</calcChain>
</file>

<file path=xl/sharedStrings.xml><?xml version="1.0" encoding="utf-8"?>
<sst xmlns="http://schemas.openxmlformats.org/spreadsheetml/2006/main" count="683" uniqueCount="268">
  <si>
    <t>COTERIE — CUSTOMER DISCOVERY DASHBOARD</t>
  </si>
  <si>
    <t>30 interviews · Jul 2026 · Friends (3), Telegram (1), Reddit (26)</t>
  </si>
  <si>
    <t>READ THIS FIRST — WHAT THE DATA SAYS</t>
  </si>
  <si>
    <t>1. TARGET USER: people WITHOUT a reliable group. Everyone who said 'no need' already has one. Strongest demand: newcomers/returners to SG, lapsed players restarting, and complete beginners.</t>
  </si>
  <si>
    <t>2. POSITIONING: 'find a game you can actually join' beats 'organise volleyball'. Top pains are finding games, beginner-unfriendliness, and closed/inactive group chats — not scheduling tools.</t>
  </si>
  <si>
    <t>3. SUPPLY RISK: almost everyone wants to JOIN games; only 3 of 30 have ever hosted or booked. Barriers: cost risk, admin, credibility, not knowing the process. Solve hosting or you have demand with no inventory.</t>
  </si>
  <si>
    <t>4. COMPETITION IS WEAK: Meetup/ReClub are unknown to most, and everyone who tried them found no usable volleyball games (classes only, 18+ wall, inactive, wrong level).</t>
  </si>
  <si>
    <t>5. BUILD SIGNAL: 7 of 30 said they'd use it, 1 joined the waitlist unprompted — plus your 50+ silent waitlist signups (not interviewed, not in these numbers).</t>
  </si>
  <si>
    <t>A. DEMAND VALIDATION</t>
  </si>
  <si>
    <t>B. WHO YOUR USER IS</t>
  </si>
  <si>
    <t>Demand tiers (each person coded once)</t>
  </si>
  <si>
    <t>Age bands</t>
  </si>
  <si>
    <t>Tier</t>
  </si>
  <si>
    <t>People</t>
  </si>
  <si>
    <t>%</t>
  </si>
  <si>
    <t>Age</t>
  </si>
  <si>
    <t>1 - No need</t>
  </si>
  <si>
    <t>Under 20</t>
  </si>
  <si>
    <t>2 - Low need</t>
  </si>
  <si>
    <t>20-29</t>
  </si>
  <si>
    <t>3 - Interested</t>
  </si>
  <si>
    <t>30-39</t>
  </si>
  <si>
    <t>4 - Said would use</t>
  </si>
  <si>
    <t>40+</t>
  </si>
  <si>
    <t>5 - Joined waitlist unprompted</t>
  </si>
  <si>
    <t>Unknown</t>
  </si>
  <si>
    <t>Unknown (no reply)</t>
  </si>
  <si>
    <t>Positive signal (tier 3+)</t>
  </si>
  <si>
    <t>excludes your 50+ waitlist signups</t>
  </si>
  <si>
    <t>Gender</t>
  </si>
  <si>
    <t>Demand by source (avg tier, 1-5)</t>
  </si>
  <si>
    <t>Male</t>
  </si>
  <si>
    <t>Source</t>
  </si>
  <si>
    <t>Avg tier</t>
  </si>
  <si>
    <t>Female</t>
  </si>
  <si>
    <t>Friend</t>
  </si>
  <si>
    <t>Telegram</t>
  </si>
  <si>
    <t>Reddit</t>
  </si>
  <si>
    <t>Experience (years playing, estimated)</t>
  </si>
  <si>
    <t>Avg tier: has reliable group</t>
  </si>
  <si>
    <t>Experience</t>
  </si>
  <si>
    <t>Avg tier: NO reliable group</t>
  </si>
  <si>
    <t>the gap here is your targeting answer</t>
  </si>
  <si>
    <t>Never played</t>
  </si>
  <si>
    <t>&lt;1 yr</t>
  </si>
  <si>
    <t>Competitor awareness</t>
  </si>
  <si>
    <t>1-3 yrs</t>
  </si>
  <si>
    <t>Awareness</t>
  </si>
  <si>
    <t>4-9 yrs</t>
  </si>
  <si>
    <t>Knows Meetup</t>
  </si>
  <si>
    <t>10+ yrs</t>
  </si>
  <si>
    <t>Knows ReClub</t>
  </si>
  <si>
    <t>Explicitly never heard of either</t>
  </si>
  <si>
    <t>New to / returning to SG</t>
  </si>
  <si>
    <t>V, Chad, Braxton, Claire — all high-demand</t>
  </si>
  <si>
    <t>Tried an app &amp; it failed them</t>
  </si>
  <si>
    <t>Complete beginners or rusty returners</t>
  </si>
  <si>
    <t>an undersupplied game type</t>
  </si>
  <si>
    <t>Failure reasons: few/no volleyball games, classes only, 18+ age wall, inactive or invite-only, wrong skill tier, bad timing/location.</t>
  </si>
  <si>
    <t>C. PAIN POINTS, RANKED</t>
  </si>
  <si>
    <t>App awareness (mutually exclusive, for pie)</t>
  </si>
  <si>
    <t>Awareness (exclusive)</t>
  </si>
  <si>
    <t>Pain point</t>
  </si>
  <si>
    <t>Mentions</t>
  </si>
  <si>
    <t>% of 30</t>
  </si>
  <si>
    <t>Knows at least one app</t>
  </si>
  <si>
    <t>Hard to find games</t>
  </si>
  <si>
    <t>Explicitly knows neither</t>
  </si>
  <si>
    <t>No friends who play</t>
  </si>
  <si>
    <t>Not asked / unclear</t>
  </si>
  <si>
    <t>Timing mismatch</t>
  </si>
  <si>
    <t>Court booking barriers</t>
  </si>
  <si>
    <t>Where people currently look for games</t>
  </si>
  <si>
    <t>Beginner-unfriendly scene</t>
  </si>
  <si>
    <t>Channel</t>
  </si>
  <si>
    <t>Vague skill standards</t>
  </si>
  <si>
    <t>Group chats inactive/invite-only</t>
  </si>
  <si>
    <t>Not enough players for 12</t>
  </si>
  <si>
    <t>Friends/own circle</t>
  </si>
  <si>
    <t>Apps lack volleyball games</t>
  </si>
  <si>
    <t>Meetup</t>
  </si>
  <si>
    <t>Location inconvenient</t>
  </si>
  <si>
    <t>ReClub</t>
  </si>
  <si>
    <t>Indoor courts scarce</t>
  </si>
  <si>
    <t>WhatsApp</t>
  </si>
  <si>
    <t>ASIG</t>
  </si>
  <si>
    <t>The hosting gap (supply side)</t>
  </si>
  <si>
    <t>Google</t>
  </si>
  <si>
    <t>Have ever hosted / booked a court</t>
  </si>
  <si>
    <t>XHS</t>
  </si>
  <si>
    <t>Explicitly said they never have</t>
  </si>
  <si>
    <t>reasons: cost risk, admin work, lazy, credibility, don't know the process</t>
  </si>
  <si>
    <t>Facebook</t>
  </si>
  <si>
    <t>OK playing with strangers</t>
  </si>
  <si>
    <t>zero people said no</t>
  </si>
  <si>
    <t>Said Reddit was their ONLY method</t>
  </si>
  <si>
    <t>stated explicitly by 7 people — your acquisition channel today</t>
  </si>
  <si>
    <t>Said friendliness/attitude &gt; skill</t>
  </si>
  <si>
    <t>nat, shawn, mc — unprompted</t>
  </si>
  <si>
    <t>D. FOUNDER EXTRAS</t>
  </si>
  <si>
    <t>Segment × demand matrix (avg tier 1-5)</t>
  </si>
  <si>
    <t>Segment</t>
  </si>
  <si>
    <t>Avg demand tier</t>
  </si>
  <si>
    <t>No reliable group</t>
  </si>
  <si>
    <t>Has reliable group</t>
  </si>
  <si>
    <t>New/returning to SG</t>
  </si>
  <si>
    <t>Beginner band (never/&lt;1yr)</t>
  </si>
  <si>
    <t>Experienced (4+ yrs)</t>
  </si>
  <si>
    <t>Friends &amp; Telegram sources</t>
  </si>
  <si>
    <t>Reddit source</t>
  </si>
  <si>
    <t>Venue signals</t>
  </si>
  <si>
    <t>Indoor preference / outdoor complaints</t>
  </si>
  <si>
    <t>nat, '-', j, Y's friend — all want indoor</t>
  </si>
  <si>
    <t>ActiveSG booking difficulty mentions</t>
  </si>
  <si>
    <t>Shocked face, Isaac plays there</t>
  </si>
  <si>
    <t>CAVEATS — READ BEFORE TRUSTING ANY NUMBER</t>
  </si>
  <si>
    <t>n = 30, self-selected: 26 came from ONE Reddit post, so 'Reddit is the top channel' is partly an artefact of where you recruited.</t>
  </si>
  <si>
    <t>Friends politeness bias: face-to-face friends may soften negatives; their 'no need' is at least honest.</t>
  </si>
  <si>
    <t>Demand tiers are coded from stated intent, not behaviour. Only Dong's waitlist signup is a hard action.</t>
  </si>
  <si>
    <t>Your 50+ waitlist signups were never interviewed and appear nowhere in these numbers — your strongest demand signal is missing from this file.</t>
  </si>
  <si>
    <t>Skill levels are self-reported and, per the interviews themselves, a 'huge grey area'.</t>
  </si>
  <si>
    <t>Years playing are estimates; Fabian and several ages are unknown (no reply / not asked).</t>
  </si>
  <si>
    <t>Name</t>
  </si>
  <si>
    <t>Age Band</t>
  </si>
  <si>
    <t>Years Playing (est)</t>
  </si>
  <si>
    <t>Experience Band</t>
  </si>
  <si>
    <t>Skill (self-described)</t>
  </si>
  <si>
    <t>Life Stage</t>
  </si>
  <si>
    <t>Has Reliable Group</t>
  </si>
  <si>
    <t>OK with Strangers</t>
  </si>
  <si>
    <t>Has Hosted or Booked</t>
  </si>
  <si>
    <t>Where Apps Failed Them</t>
  </si>
  <si>
    <t>Pain Points</t>
  </si>
  <si>
    <t>Friendliness &gt; Skill</t>
  </si>
  <si>
    <t>Demand Tier (1-5)</t>
  </si>
  <si>
    <t>Demand Label</t>
  </si>
  <si>
    <t>Channels Used</t>
  </si>
  <si>
    <t>Notes</t>
  </si>
  <si>
    <t>Vickson</t>
  </si>
  <si>
    <t>M</t>
  </si>
  <si>
    <t>No</t>
  </si>
  <si>
    <t>Yes</t>
  </si>
  <si>
    <t>None recorded</t>
  </si>
  <si>
    <t>Won't use himself (friends already invite him) but thinks many would; would use if he and a friend were looking for a game</t>
  </si>
  <si>
    <t>Jen Yaw</t>
  </si>
  <si>
    <t>Working</t>
  </si>
  <si>
    <t>WhatsApp; Friends/own circle</t>
  </si>
  <si>
    <t>SPH WhatsApp group always finds 14+ players; no need to look outside</t>
  </si>
  <si>
    <t>Elliot</t>
  </si>
  <si>
    <t>Vague skill standards; Timing mismatch; Location inconvenient</t>
  </si>
  <si>
    <t>Telegram; Friends/own circle</t>
  </si>
  <si>
    <t>Liked court-reselling idea most; joined a tele game once, standards vague, never returned (has own games)</t>
  </si>
  <si>
    <t>Shocked face</t>
  </si>
  <si>
    <t>F</t>
  </si>
  <si>
    <t>High beginner</t>
  </si>
  <si>
    <t>Vague skill standards; Court booking barriers; Not enough players for 12</t>
  </si>
  <si>
    <t>Finds players internally; 'no need for volleyball apps for now' but 'hard to fix these chats unless you create an app'; intermediate range is a huge self-rated grey area; courts hard to book on ActiveSG</t>
  </si>
  <si>
    <t>nat</t>
  </si>
  <si>
    <t>Rusty</t>
  </si>
  <si>
    <t>Student</t>
  </si>
  <si>
    <t>Timing mismatch; No friends who play; Hard to find games</t>
  </si>
  <si>
    <t>Reddit; Telegram; Friends/own circle</t>
  </si>
  <si>
    <t>Hall team season over, teammates busy; tele games fall on unavailable days; friendliness &gt; skill; prefers indoor, own age, more girls</t>
  </si>
  <si>
    <t>Isaac</t>
  </si>
  <si>
    <t>Casual</t>
  </si>
  <si>
    <t>Meetup has very few volleyball games</t>
  </si>
  <si>
    <t>Not enough players for 12; Vague skill standards; Apps lack volleyball games</t>
  </si>
  <si>
    <t>Friends/own circle; Meetup</t>
  </si>
  <si>
    <t>Organises games, recruits randoms when short of 12 but skill levels differ; plays ActiveSG/NTU courts</t>
  </si>
  <si>
    <t>Eric Siow</t>
  </si>
  <si>
    <t>High beginner-Intermediate</t>
  </si>
  <si>
    <t>Telegram; WhatsApp; ReClub</t>
  </si>
  <si>
    <t>Asked to join Saturday tele games, no replies; finds games every weekend via tele-to-private-WhatsApp pipeline</t>
  </si>
  <si>
    <t>Rizzy Izzy</t>
  </si>
  <si>
    <t>Intermediate</t>
  </si>
  <si>
    <t>Hard to find games; Not enough players for 12; Group chats inactive/invite-only; Court booking barriers</t>
  </si>
  <si>
    <t>Reddit; Telegram</t>
  </si>
  <si>
    <t>3 keen friends but can't reach 12; existing groups feel closed to strangers; scared to book courts (no-shows, no way to prove his level); wants player photos; never knew volleyball apps existed</t>
  </si>
  <si>
    <t>Hao Kai</t>
  </si>
  <si>
    <t>Games conditional: net height, fees, pax, skill level</t>
  </si>
  <si>
    <t>Hard to find games; Vague skill standards; Timing mismatch; Court booking barriers</t>
  </si>
  <si>
    <t>Telegram; ReClub; Meetup; Friends/own circle</t>
  </si>
  <si>
    <t>Uses everything frequently, still struggles; agrees skill self-definition is hard</t>
  </si>
  <si>
    <t>Bo Xian</t>
  </si>
  <si>
    <t>Beginner-unfriendly scene; No friends who play; Hard to find games</t>
  </si>
  <si>
    <t>Google; Reddit</t>
  </si>
  <si>
    <t>Wants to start; only finds competitive communities; introverted, wants to learn + meet people 20-30; Aidan's Reddit post was first relevant Google result</t>
  </si>
  <si>
    <t>Wei Liang</t>
  </si>
  <si>
    <t>Leisure (ex-school)</t>
  </si>
  <si>
    <t>20 years playing, own usual groups; 'no harm joining more groups'</t>
  </si>
  <si>
    <t>shawn</t>
  </si>
  <si>
    <t>Amateur</t>
  </si>
  <si>
    <t>Games exist but timing doesn't match his availability</t>
  </si>
  <si>
    <t>No friends who play; Timing mismatch; Hard to find games</t>
  </si>
  <si>
    <t>Reddit; ReClub; Meetup</t>
  </si>
  <si>
    <t>Friends don't play volleyball; started using ReClub/Meetup actively after asking for recommendations; wants more games + friendly people; 'if the group is chill it will be alright'</t>
  </si>
  <si>
    <t>V</t>
  </si>
  <si>
    <t>No friends who play; Hard to find games</t>
  </si>
  <si>
    <t>Filipino working in SG, no friends here; used Facebook groups in PH; 'app is like an all-in-one... good for people navigating new places'</t>
  </si>
  <si>
    <t>B</t>
  </si>
  <si>
    <t>Lapsed (ex-ITE team)</t>
  </si>
  <si>
    <t>Everyone working, hard to organise; hasn't played in years</t>
  </si>
  <si>
    <t>Fabian</t>
  </si>
  <si>
    <t>Beginner</t>
  </si>
  <si>
    <t>2 months in, plays with friends; didn't reply follow-up</t>
  </si>
  <si>
    <t>- (25F)</t>
  </si>
  <si>
    <t>Between jobs</t>
  </si>
  <si>
    <t>Indoor courts scarce; Hard to find games</t>
  </si>
  <si>
    <t>Reddit; Friends/own circle</t>
  </si>
  <si>
    <t>Played age 10-16; peppers at HDB with 2 friends; found a group but it books outdoor MOE Evans (very hot before 6.30pm); wants indoor</t>
  </si>
  <si>
    <t>Claire Lim</t>
  </si>
  <si>
    <t>School team</t>
  </si>
  <si>
    <t>Meetup requires age 18+</t>
  </si>
  <si>
    <t>Back from Taiwan, no friends/relatives who play in SG; blocked from Meetup by 18+ rule; 'would absolutely use' the app</t>
  </si>
  <si>
    <t>L</t>
  </si>
  <si>
    <t>Lapsed (injury)</t>
  </si>
  <si>
    <t>Hard to find games; Beginner-unfriendly scene</t>
  </si>
  <si>
    <t>Played primary school to mid-20s, stopped from wrist nerve damage; wants beginner/less-professional group to restart; 'well needed, would definitely use'</t>
  </si>
  <si>
    <t>Dong</t>
  </si>
  <si>
    <t>Casual (ex-school)</t>
  </si>
  <si>
    <t>Both apps quite inactive or invite-only</t>
  </si>
  <si>
    <t>Timing mismatch; Group chats inactive/invite-only; Hard to find games</t>
  </si>
  <si>
    <t>Telegram; Reddit; ReClub; Meetup</t>
  </si>
  <si>
    <t>One tele group, can't always meet its timings; ReClub/Meetup 'nothing much', inactive or invite-only; joined waitlist unprompted, 'can't wait for it to come out'</t>
  </si>
  <si>
    <t>Y</t>
  </si>
  <si>
    <t>Complete beginner</t>
  </si>
  <si>
    <t>Beginner-unfriendly scene; Hard to find games</t>
  </si>
  <si>
    <t>Scouting for a beginner friend (needs indoor); assumes experienced players reject newbies; never knew sports apps existed; said waitlist site 'looks very legit'</t>
  </si>
  <si>
    <t>H</t>
  </si>
  <si>
    <t>Reddit; ASIG</t>
  </si>
  <si>
    <t>Plays ~monthly + ASIG; never hosts because 'too lazy to find', just joins others' games; only Reddit otherwise</t>
  </si>
  <si>
    <t>j</t>
  </si>
  <si>
    <t>Indoor courts scarce; Court booking barriers; Hard to find games</t>
  </si>
  <si>
    <t>Friends only play beach, he wants indoor; never hosted, doesn't know the booking process; never heard of ReClub/Meetup, willing to try</t>
  </si>
  <si>
    <t>Jun Karn</t>
  </si>
  <si>
    <t>Never played sports growing up, wants to learn basics; no friends to play with</t>
  </si>
  <si>
    <t>Chad</t>
  </si>
  <si>
    <t>Rusty (setter/libero)</t>
  </si>
  <si>
    <t>Meetup shows only classes, no games near Clarke Quay/Chinatown</t>
  </si>
  <si>
    <t>No friends who play; Hard to find games; Apps lack volleyball games; Location inconvenient</t>
  </si>
  <si>
    <t>Reddit; Meetup</t>
  </si>
  <si>
    <t>Filipino via Dubai, in SG 1 month for studies; classmates don't play; never heard of ReClub</t>
  </si>
  <si>
    <t>ezragoh</t>
  </si>
  <si>
    <t>Beginner (club)</t>
  </si>
  <si>
    <t>Meetup times and locations don't suit him</t>
  </si>
  <si>
    <t>Timing mismatch; Location inconvenient; Court booking barriers</t>
  </si>
  <si>
    <t>Meetup; Friends/own circle</t>
  </si>
  <si>
    <t>In Volleyball Ace club; never books courts (money + admin work); would host if profit &gt; $50</t>
  </si>
  <si>
    <t>Braxton</t>
  </si>
  <si>
    <t>Started in Sydney (club socials everywhere), back in SG for a month; tough to find socials here; referred to Aidan by an Australia teammate; down to host; 'would definitely use'</t>
  </si>
  <si>
    <t>Perry Chang</t>
  </si>
  <si>
    <t>Court booking barriers; Timing mismatch; Hard to find games</t>
  </si>
  <si>
    <t>Reddit; XHS</t>
  </si>
  <si>
    <t>Plays to accompany girlfriend (recreational ex-school-team); tried Xiao Hong Shu, no results; won't book courts, fears wasting money if headcount falls short; asked if Aidan represents ReClub</t>
  </si>
  <si>
    <t>A</t>
  </si>
  <si>
    <t>Recreational (lapsed)</t>
  </si>
  <si>
    <t>NS</t>
  </si>
  <si>
    <t>Played 2020-2024, in NS now, restarting; never heard of ReClub/Meetup; organising 'isn't his thing'</t>
  </si>
  <si>
    <t>Wookie</t>
  </si>
  <si>
    <t>Returner (low skill)</t>
  </si>
  <si>
    <t>Beginner-unfriendly scene; Hard to find games; No friends who play; Timing mismatch; Court booking barriers</t>
  </si>
  <si>
    <t>In 2 weeks only 1 beginner game appeared in the tele group and he was unavailable; never booked, 'never knew the community'; friends don't play</t>
  </si>
  <si>
    <t>mc</t>
  </si>
  <si>
    <t>ReClub has zero volleyball games; Meetup wants intermediate or offers classes only</t>
  </si>
  <si>
    <t>Hard to find games; Beginner-unfriendly scene; Apps lack volleyball games</t>
  </si>
  <si>
    <t>Wants to start because of Haikyuu; attitude &gt; skill ('unfriendliness is hard to change'); would use the app to join games</t>
  </si>
  <si>
    <t>COTERIE — CHARTS</t>
  </si>
  <si>
    <t>All charts read live from the Dashboard tables. Pies are only used where categories don't overlap; channels &amp; awareness are multi-select (one person can appear in several), so those stay as bars.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</si>
</sst>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i/>
      <sz val="8"/>
      <color rgb="FF808080"/>
      <name val="Arial"/>
      <charset val="1"/>
    </font>
    <font>
      <sz val="10"/>
      <color rgb="FF000000"/>
      <name val="Arial"/>
      <charset val="1"/>
    </font>
    <font>
      <i/>
      <sz val="8"/>
      <color rgb="FF59595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C55A11"/>
        <bgColor rgb="FFC0504D"/>
      </patternFill>
    </fill>
    <fill>
      <patternFill patternType="solid">
        <fgColor rgb="FFD9D9D9"/>
        <bgColor rgb="FFF2F2F2"/>
      </patternFill>
    </fill>
    <fill>
      <patternFill patternType="solid">
        <fgColor rgb="FF833C00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9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7" fillId="0" borderId="0" xfId="0" applyFont="1"/>
    <xf numFmtId="0" fontId="8" fillId="5" borderId="1" xfId="0" applyFont="1" applyFill="1" applyBorder="1"/>
    <xf numFmtId="0" fontId="2" fillId="0" borderId="1" xfId="0" applyFont="1" applyBorder="1"/>
    <xf numFmtId="9" fontId="2" fillId="0" borderId="1" xfId="0" applyNumberFormat="1" applyFont="1" applyBorder="1"/>
    <xf numFmtId="9" fontId="7" fillId="0" borderId="0" xfId="0" applyNumberFormat="1" applyFont="1"/>
    <xf numFmtId="164" fontId="2" fillId="0" borderId="1" xfId="0" applyNumberFormat="1" applyFont="1" applyBorder="1"/>
    <xf numFmtId="0" fontId="10" fillId="0" borderId="0" xfId="0" applyFont="1"/>
    <xf numFmtId="164" fontId="10" fillId="0" borderId="0" xfId="0" applyNumberFormat="1" applyFont="1"/>
    <xf numFmtId="164" fontId="7" fillId="0" borderId="0" xfId="0" applyNumberFormat="1" applyFont="1"/>
    <xf numFmtId="0" fontId="9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1" fillId="0" borderId="0" xfId="0" applyFont="1" applyAlignment="1">
      <alignment vertical="top" wrapText="1"/>
    </xf>
    <xf numFmtId="0" fontId="4" fillId="0" borderId="0" xfId="0" applyFont="1"/>
    <xf numFmtId="0" fontId="5" fillId="6" borderId="0" xfId="0" applyFont="1" applyFill="1"/>
    <xf numFmtId="0" fontId="6" fillId="2" borderId="0" xfId="0" applyFont="1" applyFill="1"/>
    <xf numFmtId="0" fontId="5" fillId="4" borderId="0" xfId="0" applyFont="1" applyFill="1"/>
    <xf numFmtId="0" fontId="9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C55A11"/>
      <rgbColor rgb="FF8064A2"/>
      <rgbColor rgb="FF878787"/>
      <rgbColor rgb="FF1F3864"/>
      <rgbColor rgb="FF339966"/>
      <rgbColor rgb="FF003300"/>
      <rgbColor rgb="FF333300"/>
      <rgbColor rgb="FF833C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Demand tiers (n=30)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Dashboard!$A$15:$A$20</c:f>
              <c:strCache>
                <c:ptCount val="6"/>
                <c:pt idx="0">
                  <c:v>1 - No need</c:v>
                </c:pt>
                <c:pt idx="1">
                  <c:v>2 - Low need</c:v>
                </c:pt>
                <c:pt idx="2">
                  <c:v>3 - Interested</c:v>
                </c:pt>
                <c:pt idx="3">
                  <c:v>4 - Said would use</c:v>
                </c:pt>
                <c:pt idx="4">
                  <c:v>5 - Joined waitlist unprompted</c:v>
                </c:pt>
                <c:pt idx="5">
                  <c:v>Unknown (no reply)</c:v>
                </c:pt>
              </c:strCache>
            </c:strRef>
          </c:cat>
          <c:val>
            <c:numRef>
              <c:f>Dashboard!$B$15:$B$20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15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0-4CFD-94BE-19572924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12440"/>
        <c:axId val="58604262"/>
      </c:barChart>
      <c:catAx>
        <c:axId val="27712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8604262"/>
        <c:crosses val="autoZero"/>
        <c:auto val="1"/>
        <c:lblAlgn val="ctr"/>
        <c:lblOffset val="100"/>
        <c:noMultiLvlLbl val="0"/>
      </c:catAx>
      <c:valAx>
        <c:axId val="58604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71244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Demand tiers - share of 30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BC-4757-BC60-ED7EA1161CE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7FBC-4757-BC60-ED7EA1161CE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7FBC-4757-BC60-ED7EA1161CE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7FBC-4757-BC60-ED7EA1161CE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7FBC-4757-BC60-ED7EA1161CE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7FBC-4757-BC60-ED7EA1161CE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Dashboard!$A$15:$A$20</c:f>
              <c:strCache>
                <c:ptCount val="6"/>
                <c:pt idx="0">
                  <c:v>1 - No need</c:v>
                </c:pt>
                <c:pt idx="1">
                  <c:v>2 - Low need</c:v>
                </c:pt>
                <c:pt idx="2">
                  <c:v>3 - Interested</c:v>
                </c:pt>
                <c:pt idx="3">
                  <c:v>4 - Said would use</c:v>
                </c:pt>
                <c:pt idx="4">
                  <c:v>5 - Joined waitlist unprompted</c:v>
                </c:pt>
                <c:pt idx="5">
                  <c:v>Unknown (no reply)</c:v>
                </c:pt>
              </c:strCache>
            </c:strRef>
          </c:cat>
          <c:val>
            <c:numRef>
              <c:f>Dashboard!$B$15:$B$20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15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BC-4757-BC60-ED7EA1161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App awareness (exclusive split)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F34-4B8A-86E5-2CEAD589246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BF34-4B8A-86E5-2CEAD589246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BF34-4B8A-86E5-2CEAD589246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Dashboard!$A$41:$A$43</c:f>
              <c:strCache>
                <c:ptCount val="3"/>
                <c:pt idx="0">
                  <c:v>Knows at least one app</c:v>
                </c:pt>
                <c:pt idx="1">
                  <c:v>Explicitly knows neither</c:v>
                </c:pt>
                <c:pt idx="2">
                  <c:v>Not asked / unclear</c:v>
                </c:pt>
              </c:strCache>
            </c:strRef>
          </c:cat>
          <c:val>
            <c:numRef>
              <c:f>Dashboard!$B$41:$B$43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34-4B8A-86E5-2CEAD5892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Competitor awareness (overlapping - bar, not pie)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Dashboard!$A$33:$A$36</c:f>
              <c:strCache>
                <c:ptCount val="4"/>
                <c:pt idx="0">
                  <c:v>Knows Meetup</c:v>
                </c:pt>
                <c:pt idx="1">
                  <c:v>Knows ReClub</c:v>
                </c:pt>
                <c:pt idx="2">
                  <c:v>Explicitly never heard of either</c:v>
                </c:pt>
                <c:pt idx="3">
                  <c:v>Tried an app &amp; it failed them</c:v>
                </c:pt>
              </c:strCache>
            </c:strRef>
          </c:cat>
          <c:val>
            <c:numRef>
              <c:f>Dashboard!$B$33:$B$36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F-4026-BBC4-CA0E7A40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87405"/>
        <c:axId val="87313983"/>
      </c:barChart>
      <c:catAx>
        <c:axId val="217874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7313983"/>
        <c:crosses val="autoZero"/>
        <c:auto val="1"/>
        <c:lblAlgn val="ctr"/>
        <c:lblOffset val="100"/>
        <c:noMultiLvlLbl val="0"/>
      </c:catAx>
      <c:valAx>
        <c:axId val="8731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178740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Where people look for games (multi-select)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Dashboard!$A$47:$A$56</c:f>
              <c:strCache>
                <c:ptCount val="10"/>
                <c:pt idx="0">
                  <c:v>Reddit</c:v>
                </c:pt>
                <c:pt idx="1">
                  <c:v>Telegram</c:v>
                </c:pt>
                <c:pt idx="2">
                  <c:v>Friends/own circle</c:v>
                </c:pt>
                <c:pt idx="3">
                  <c:v>Meetup</c:v>
                </c:pt>
                <c:pt idx="4">
                  <c:v>ReClub</c:v>
                </c:pt>
                <c:pt idx="5">
                  <c:v>WhatsApp</c:v>
                </c:pt>
                <c:pt idx="6">
                  <c:v>ASIG</c:v>
                </c:pt>
                <c:pt idx="7">
                  <c:v>Google</c:v>
                </c:pt>
                <c:pt idx="8">
                  <c:v>XHS</c:v>
                </c:pt>
                <c:pt idx="9">
                  <c:v>Facebook</c:v>
                </c:pt>
              </c:strCache>
            </c:strRef>
          </c:cat>
          <c:val>
            <c:numRef>
              <c:f>Dashboard!$B$47:$B$56</c:f>
              <c:numCache>
                <c:formatCode>General</c:formatCode>
                <c:ptCount val="10"/>
                <c:pt idx="0">
                  <c:v>20</c:v>
                </c:pt>
                <c:pt idx="1">
                  <c:v>8</c:v>
                </c:pt>
                <c:pt idx="2">
                  <c:v>12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E-4F3E-8C52-B34C05B2B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79796"/>
        <c:axId val="57006507"/>
      </c:barChart>
      <c:catAx>
        <c:axId val="738797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7006507"/>
        <c:crosses val="autoZero"/>
        <c:auto val="1"/>
        <c:lblAlgn val="ctr"/>
        <c:lblOffset val="100"/>
        <c:noMultiLvlLbl val="0"/>
      </c:catAx>
      <c:valAx>
        <c:axId val="57006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387979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Age bands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B6-48BB-8E85-87AC2864A35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AAB6-48BB-8E85-87AC2864A35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AAB6-48BB-8E85-87AC2864A35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AAB6-48BB-8E85-87AC2864A35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AAB6-48BB-8E85-87AC2864A35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Dashboard!$F$15:$F$19</c:f>
              <c:strCache>
                <c:ptCount val="5"/>
                <c:pt idx="0">
                  <c:v>Under 20</c:v>
                </c:pt>
                <c:pt idx="1">
                  <c:v>20-29</c:v>
                </c:pt>
                <c:pt idx="2">
                  <c:v>30-39</c:v>
                </c:pt>
                <c:pt idx="3">
                  <c:v>40+</c:v>
                </c:pt>
                <c:pt idx="4">
                  <c:v>Unknown</c:v>
                </c:pt>
              </c:strCache>
            </c:strRef>
          </c:cat>
          <c:val>
            <c:numRef>
              <c:f>Dashboard!$G$15:$G$19</c:f>
              <c:numCache>
                <c:formatCode>General</c:formatCode>
                <c:ptCount val="5"/>
                <c:pt idx="0">
                  <c:v>4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B6-48BB-8E85-87AC2864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61-413A-B3A4-D698D24BACE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2A61-413A-B3A4-D698D24BACE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2A61-413A-B3A4-D698D24BACE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Dashboard!$F$23:$F$25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Dashboard!$G$23:$G$25</c:f>
              <c:numCache>
                <c:formatCode>General</c:formatCode>
                <c:ptCount val="3"/>
                <c:pt idx="0">
                  <c:v>23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61-413A-B3A4-D698D24BA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Years playing volleyball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2D-4727-AD9F-E1A95C4C718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162D-4727-AD9F-E1A95C4C718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162D-4727-AD9F-E1A95C4C718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162D-4727-AD9F-E1A95C4C718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162D-4727-AD9F-E1A95C4C718D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1260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162D-4727-AD9F-E1A95C4C718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Dashboard!$F$29:$F$34</c:f>
              <c:strCache>
                <c:ptCount val="6"/>
                <c:pt idx="0">
                  <c:v>Never played</c:v>
                </c:pt>
                <c:pt idx="1">
                  <c:v>&lt;1 yr</c:v>
                </c:pt>
                <c:pt idx="2">
                  <c:v>1-3 yrs</c:v>
                </c:pt>
                <c:pt idx="3">
                  <c:v>4-9 yrs</c:v>
                </c:pt>
                <c:pt idx="4">
                  <c:v>10+ yrs</c:v>
                </c:pt>
                <c:pt idx="5">
                  <c:v>Unknown</c:v>
                </c:pt>
              </c:strCache>
            </c:strRef>
          </c:cat>
          <c:val>
            <c:numRef>
              <c:f>Dashboard!$G$29:$G$34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2D-4727-AD9F-E1A95C4C7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Pain points, ranked by mentions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Dashboard!$F$41:$F$51</c:f>
              <c:strCache>
                <c:ptCount val="11"/>
                <c:pt idx="0">
                  <c:v>Hard to find games</c:v>
                </c:pt>
                <c:pt idx="1">
                  <c:v>No friends who play</c:v>
                </c:pt>
                <c:pt idx="2">
                  <c:v>Timing mismatch</c:v>
                </c:pt>
                <c:pt idx="3">
                  <c:v>Court booking barriers</c:v>
                </c:pt>
                <c:pt idx="4">
                  <c:v>Beginner-unfriendly scene</c:v>
                </c:pt>
                <c:pt idx="5">
                  <c:v>Vague skill standards</c:v>
                </c:pt>
                <c:pt idx="6">
                  <c:v>Group chats inactive/invite-only</c:v>
                </c:pt>
                <c:pt idx="7">
                  <c:v>Not enough players for 12</c:v>
                </c:pt>
                <c:pt idx="8">
                  <c:v>Apps lack volleyball games</c:v>
                </c:pt>
                <c:pt idx="9">
                  <c:v>Location inconvenient</c:v>
                </c:pt>
                <c:pt idx="10">
                  <c:v>Indoor courts scarce</c:v>
                </c:pt>
              </c:strCache>
            </c:strRef>
          </c:cat>
          <c:val>
            <c:numRef>
              <c:f>Dashboard!$G$41:$G$51</c:f>
              <c:numCache>
                <c:formatCode>General</c:formatCode>
                <c:ptCount val="11"/>
                <c:pt idx="0">
                  <c:v>20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0-44BA-8011-CC4CA46E1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47097"/>
        <c:axId val="4279025"/>
      </c:barChart>
      <c:catAx>
        <c:axId val="208470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79025"/>
        <c:crosses val="autoZero"/>
        <c:auto val="1"/>
        <c:lblAlgn val="ctr"/>
        <c:lblOffset val="100"/>
        <c:noMultiLvlLbl val="0"/>
      </c:catAx>
      <c:valAx>
        <c:axId val="4279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84709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SG" sz="1800" b="1" strike="noStrike">
                <a:solidFill>
                  <a:srgbClr val="000000"/>
                </a:solidFill>
                <a:uFillTx/>
                <a:latin typeface="Calibri"/>
              </a:rPr>
              <a:t>Avg demand tier by segment (1=no need, 5=waitlist)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Dashboard!$A$63:$A$69</c:f>
              <c:strCache>
                <c:ptCount val="7"/>
                <c:pt idx="0">
                  <c:v>No reliable group</c:v>
                </c:pt>
                <c:pt idx="1">
                  <c:v>Has reliable group</c:v>
                </c:pt>
                <c:pt idx="2">
                  <c:v>New/returning to SG</c:v>
                </c:pt>
                <c:pt idx="3">
                  <c:v>Beginner band (never/&lt;1yr)</c:v>
                </c:pt>
                <c:pt idx="4">
                  <c:v>Experienced (4+ yrs)</c:v>
                </c:pt>
                <c:pt idx="5">
                  <c:v>Friends &amp; Telegram sources</c:v>
                </c:pt>
                <c:pt idx="6">
                  <c:v>Reddit source</c:v>
                </c:pt>
              </c:strCache>
            </c:strRef>
          </c:cat>
          <c:val>
            <c:numRef>
              <c:f>Dashboard!$B$63:$B$69</c:f>
              <c:numCache>
                <c:formatCode>0.0</c:formatCode>
                <c:ptCount val="7"/>
                <c:pt idx="0">
                  <c:v>3.4666666666666668</c:v>
                </c:pt>
                <c:pt idx="1">
                  <c:v>2.4285714285714284</c:v>
                </c:pt>
                <c:pt idx="2">
                  <c:v>3.75</c:v>
                </c:pt>
                <c:pt idx="3">
                  <c:v>3.1666666666666665</c:v>
                </c:pt>
                <c:pt idx="4">
                  <c:v>3.2</c:v>
                </c:pt>
                <c:pt idx="5">
                  <c:v>1</c:v>
                </c:pt>
                <c:pt idx="6">
                  <c:v>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1-4505-9527-71C974698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6263"/>
        <c:axId val="63445293"/>
      </c:barChart>
      <c:catAx>
        <c:axId val="10076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445293"/>
        <c:crosses val="autoZero"/>
        <c:auto val="1"/>
        <c:lblAlgn val="ctr"/>
        <c:lblOffset val="100"/>
        <c:noMultiLvlLbl val="0"/>
      </c:catAx>
      <c:valAx>
        <c:axId val="63445293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007626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579240</xdr:colOff>
      <xdr:row>19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16</xdr:col>
      <xdr:colOff>579240</xdr:colOff>
      <xdr:row>19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579240</xdr:colOff>
      <xdr:row>37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16</xdr:col>
      <xdr:colOff>579240</xdr:colOff>
      <xdr:row>37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7</xdr:col>
      <xdr:colOff>579240</xdr:colOff>
      <xdr:row>55</xdr:row>
      <xdr:rowOff>11520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39</xdr:row>
      <xdr:rowOff>0</xdr:rowOff>
    </xdr:from>
    <xdr:to>
      <xdr:col>16</xdr:col>
      <xdr:colOff>579240</xdr:colOff>
      <xdr:row>55</xdr:row>
      <xdr:rowOff>11520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7</xdr:col>
      <xdr:colOff>579240</xdr:colOff>
      <xdr:row>73</xdr:row>
      <xdr:rowOff>11520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16</xdr:col>
      <xdr:colOff>579240</xdr:colOff>
      <xdr:row>73</xdr:row>
      <xdr:rowOff>11520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75</xdr:row>
      <xdr:rowOff>0</xdr:rowOff>
    </xdr:from>
    <xdr:to>
      <xdr:col>7</xdr:col>
      <xdr:colOff>579240</xdr:colOff>
      <xdr:row>91</xdr:row>
      <xdr:rowOff>11520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75</xdr:row>
      <xdr:rowOff>0</xdr:rowOff>
    </xdr:from>
    <xdr:to>
      <xdr:col>16</xdr:col>
      <xdr:colOff>579240</xdr:colOff>
      <xdr:row>91</xdr:row>
      <xdr:rowOff>11520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3" width="9" customWidth="1"/>
    <col min="4" max="4" width="7" customWidth="1"/>
    <col min="5" max="5" width="9" customWidth="1"/>
    <col min="6" max="6" width="11" customWidth="1"/>
    <col min="7" max="7" width="15" customWidth="1"/>
    <col min="8" max="9" width="10" customWidth="1"/>
    <col min="10" max="10" width="9" customWidth="1"/>
    <col min="11" max="11" width="10" customWidth="1"/>
    <col min="12" max="12" width="9" customWidth="1"/>
    <col min="13" max="14" width="8" customWidth="1"/>
    <col min="15" max="15" width="28" customWidth="1"/>
    <col min="16" max="16" width="34" customWidth="1"/>
    <col min="17" max="17" width="10" customWidth="1"/>
    <col min="18" max="18" width="8" customWidth="1"/>
    <col min="19" max="19" width="16" customWidth="1"/>
    <col min="20" max="20" width="22" customWidth="1"/>
    <col min="21" max="21" width="50" customWidth="1"/>
  </cols>
  <sheetData>
    <row r="1" spans="1:21" ht="36" customHeight="1" x14ac:dyDescent="0.3">
      <c r="A1" s="2" t="s">
        <v>122</v>
      </c>
      <c r="B1" s="2" t="s">
        <v>32</v>
      </c>
      <c r="C1" s="2" t="s">
        <v>123</v>
      </c>
      <c r="D1" s="2" t="s">
        <v>29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53</v>
      </c>
      <c r="J1" s="2" t="s">
        <v>128</v>
      </c>
      <c r="K1" s="2" t="s">
        <v>129</v>
      </c>
      <c r="L1" s="2" t="s">
        <v>130</v>
      </c>
      <c r="M1" s="2" t="s">
        <v>49</v>
      </c>
      <c r="N1" s="2" t="s">
        <v>51</v>
      </c>
      <c r="O1" s="2" t="s">
        <v>131</v>
      </c>
      <c r="P1" s="2" t="s">
        <v>132</v>
      </c>
      <c r="Q1" s="2" t="s">
        <v>133</v>
      </c>
      <c r="R1" s="2" t="s">
        <v>134</v>
      </c>
      <c r="S1" s="2" t="s">
        <v>135</v>
      </c>
      <c r="T1" s="2" t="s">
        <v>136</v>
      </c>
      <c r="U1" s="2" t="s">
        <v>137</v>
      </c>
    </row>
    <row r="2" spans="1:21" ht="22.8" customHeight="1" x14ac:dyDescent="0.3">
      <c r="A2" s="3" t="s">
        <v>138</v>
      </c>
      <c r="B2" s="3" t="s">
        <v>35</v>
      </c>
      <c r="C2" s="3" t="s">
        <v>19</v>
      </c>
      <c r="D2" s="3" t="s">
        <v>139</v>
      </c>
      <c r="E2" s="3"/>
      <c r="F2" s="3" t="s">
        <v>25</v>
      </c>
      <c r="G2" s="3" t="s">
        <v>25</v>
      </c>
      <c r="H2" s="3" t="s">
        <v>25</v>
      </c>
      <c r="I2" s="3" t="s">
        <v>140</v>
      </c>
      <c r="J2" s="3" t="s">
        <v>141</v>
      </c>
      <c r="K2" s="3" t="s">
        <v>25</v>
      </c>
      <c r="L2" s="3" t="s">
        <v>25</v>
      </c>
      <c r="M2" s="3" t="s">
        <v>25</v>
      </c>
      <c r="N2" s="3" t="s">
        <v>25</v>
      </c>
      <c r="O2" s="3"/>
      <c r="P2" s="3" t="s">
        <v>142</v>
      </c>
      <c r="Q2" s="3"/>
      <c r="R2" s="3">
        <v>1</v>
      </c>
      <c r="S2" s="3" t="s">
        <v>16</v>
      </c>
      <c r="T2" s="3" t="s">
        <v>78</v>
      </c>
      <c r="U2" s="3" t="s">
        <v>143</v>
      </c>
    </row>
    <row r="3" spans="1:21" ht="22.8" customHeight="1" x14ac:dyDescent="0.3">
      <c r="A3" s="4" t="s">
        <v>144</v>
      </c>
      <c r="B3" s="4" t="s">
        <v>35</v>
      </c>
      <c r="C3" s="4" t="s">
        <v>23</v>
      </c>
      <c r="D3" s="4" t="s">
        <v>139</v>
      </c>
      <c r="E3" s="4"/>
      <c r="F3" s="4" t="s">
        <v>25</v>
      </c>
      <c r="G3" s="4" t="s">
        <v>25</v>
      </c>
      <c r="H3" s="4" t="s">
        <v>145</v>
      </c>
      <c r="I3" s="4" t="s">
        <v>140</v>
      </c>
      <c r="J3" s="4" t="s">
        <v>141</v>
      </c>
      <c r="K3" s="4" t="s">
        <v>25</v>
      </c>
      <c r="L3" s="4" t="s">
        <v>25</v>
      </c>
      <c r="M3" s="4" t="s">
        <v>25</v>
      </c>
      <c r="N3" s="4" t="s">
        <v>25</v>
      </c>
      <c r="O3" s="4"/>
      <c r="P3" s="4" t="s">
        <v>142</v>
      </c>
      <c r="Q3" s="4"/>
      <c r="R3" s="4">
        <v>1</v>
      </c>
      <c r="S3" s="4" t="s">
        <v>16</v>
      </c>
      <c r="T3" s="4" t="s">
        <v>146</v>
      </c>
      <c r="U3" s="4" t="s">
        <v>147</v>
      </c>
    </row>
    <row r="4" spans="1:21" ht="22.8" customHeight="1" x14ac:dyDescent="0.3">
      <c r="A4" s="3" t="s">
        <v>148</v>
      </c>
      <c r="B4" s="3" t="s">
        <v>35</v>
      </c>
      <c r="C4" s="3" t="s">
        <v>17</v>
      </c>
      <c r="D4" s="3" t="s">
        <v>139</v>
      </c>
      <c r="E4" s="3"/>
      <c r="F4" s="3" t="s">
        <v>25</v>
      </c>
      <c r="G4" s="3" t="s">
        <v>25</v>
      </c>
      <c r="H4" s="3" t="s">
        <v>25</v>
      </c>
      <c r="I4" s="3" t="s">
        <v>140</v>
      </c>
      <c r="J4" s="3" t="s">
        <v>141</v>
      </c>
      <c r="K4" s="3" t="s">
        <v>25</v>
      </c>
      <c r="L4" s="3" t="s">
        <v>25</v>
      </c>
      <c r="M4" s="3" t="s">
        <v>25</v>
      </c>
      <c r="N4" s="3" t="s">
        <v>25</v>
      </c>
      <c r="O4" s="3"/>
      <c r="P4" s="3" t="s">
        <v>149</v>
      </c>
      <c r="Q4" s="3"/>
      <c r="R4" s="3">
        <v>1</v>
      </c>
      <c r="S4" s="3" t="s">
        <v>16</v>
      </c>
      <c r="T4" s="3" t="s">
        <v>150</v>
      </c>
      <c r="U4" s="3" t="s">
        <v>151</v>
      </c>
    </row>
    <row r="5" spans="1:21" ht="45.6" customHeight="1" x14ac:dyDescent="0.3">
      <c r="A5" s="4" t="s">
        <v>152</v>
      </c>
      <c r="B5" s="4" t="s">
        <v>36</v>
      </c>
      <c r="C5" s="4" t="s">
        <v>19</v>
      </c>
      <c r="D5" s="4" t="s">
        <v>153</v>
      </c>
      <c r="E5" s="4">
        <v>10</v>
      </c>
      <c r="F5" s="4" t="s">
        <v>50</v>
      </c>
      <c r="G5" s="4" t="s">
        <v>154</v>
      </c>
      <c r="H5" s="4" t="s">
        <v>25</v>
      </c>
      <c r="I5" s="4" t="s">
        <v>140</v>
      </c>
      <c r="J5" s="4" t="s">
        <v>141</v>
      </c>
      <c r="K5" s="4" t="s">
        <v>25</v>
      </c>
      <c r="L5" s="4" t="s">
        <v>141</v>
      </c>
      <c r="M5" s="4" t="s">
        <v>25</v>
      </c>
      <c r="N5" s="4" t="s">
        <v>25</v>
      </c>
      <c r="O5" s="4"/>
      <c r="P5" s="4" t="s">
        <v>155</v>
      </c>
      <c r="Q5" s="4"/>
      <c r="R5" s="4">
        <v>1</v>
      </c>
      <c r="S5" s="4" t="s">
        <v>16</v>
      </c>
      <c r="T5" s="4" t="s">
        <v>150</v>
      </c>
      <c r="U5" s="4" t="s">
        <v>156</v>
      </c>
    </row>
    <row r="6" spans="1:21" ht="34.200000000000003" customHeight="1" x14ac:dyDescent="0.3">
      <c r="A6" s="3" t="s">
        <v>157</v>
      </c>
      <c r="B6" s="3" t="s">
        <v>37</v>
      </c>
      <c r="C6" s="3" t="s">
        <v>19</v>
      </c>
      <c r="D6" s="3" t="s">
        <v>153</v>
      </c>
      <c r="E6" s="3">
        <v>2</v>
      </c>
      <c r="F6" s="3" t="s">
        <v>46</v>
      </c>
      <c r="G6" s="3" t="s">
        <v>158</v>
      </c>
      <c r="H6" s="3" t="s">
        <v>159</v>
      </c>
      <c r="I6" s="3" t="s">
        <v>140</v>
      </c>
      <c r="J6" s="3" t="s">
        <v>140</v>
      </c>
      <c r="K6" s="3" t="s">
        <v>141</v>
      </c>
      <c r="L6" s="3" t="s">
        <v>25</v>
      </c>
      <c r="M6" s="3" t="s">
        <v>25</v>
      </c>
      <c r="N6" s="3" t="s">
        <v>25</v>
      </c>
      <c r="O6" s="3"/>
      <c r="P6" s="3" t="s">
        <v>160</v>
      </c>
      <c r="Q6" s="3" t="s">
        <v>141</v>
      </c>
      <c r="R6" s="3">
        <v>3</v>
      </c>
      <c r="S6" s="3" t="s">
        <v>20</v>
      </c>
      <c r="T6" s="3" t="s">
        <v>161</v>
      </c>
      <c r="U6" s="3" t="s">
        <v>162</v>
      </c>
    </row>
    <row r="7" spans="1:21" ht="22.8" customHeight="1" x14ac:dyDescent="0.3">
      <c r="A7" s="4" t="s">
        <v>163</v>
      </c>
      <c r="B7" s="4" t="s">
        <v>37</v>
      </c>
      <c r="C7" s="4" t="s">
        <v>19</v>
      </c>
      <c r="D7" s="4" t="s">
        <v>139</v>
      </c>
      <c r="E7" s="4">
        <v>1</v>
      </c>
      <c r="F7" s="4" t="s">
        <v>46</v>
      </c>
      <c r="G7" s="4" t="s">
        <v>164</v>
      </c>
      <c r="H7" s="4" t="s">
        <v>25</v>
      </c>
      <c r="I7" s="4" t="s">
        <v>140</v>
      </c>
      <c r="J7" s="4" t="s">
        <v>141</v>
      </c>
      <c r="K7" s="4" t="s">
        <v>141</v>
      </c>
      <c r="L7" s="4" t="s">
        <v>141</v>
      </c>
      <c r="M7" s="4" t="s">
        <v>141</v>
      </c>
      <c r="N7" s="4" t="s">
        <v>140</v>
      </c>
      <c r="O7" s="4" t="s">
        <v>165</v>
      </c>
      <c r="P7" s="4" t="s">
        <v>166</v>
      </c>
      <c r="Q7" s="4"/>
      <c r="R7" s="4">
        <v>3</v>
      </c>
      <c r="S7" s="4" t="s">
        <v>20</v>
      </c>
      <c r="T7" s="4" t="s">
        <v>167</v>
      </c>
      <c r="U7" s="4" t="s">
        <v>168</v>
      </c>
    </row>
    <row r="8" spans="1:21" ht="22.8" customHeight="1" x14ac:dyDescent="0.3">
      <c r="A8" s="3" t="s">
        <v>169</v>
      </c>
      <c r="B8" s="3" t="s">
        <v>37</v>
      </c>
      <c r="C8" s="3" t="s">
        <v>23</v>
      </c>
      <c r="D8" s="3" t="s">
        <v>139</v>
      </c>
      <c r="E8" s="3"/>
      <c r="F8" s="3" t="s">
        <v>25</v>
      </c>
      <c r="G8" s="3" t="s">
        <v>170</v>
      </c>
      <c r="H8" s="3" t="s">
        <v>145</v>
      </c>
      <c r="I8" s="3" t="s">
        <v>140</v>
      </c>
      <c r="J8" s="3" t="s">
        <v>141</v>
      </c>
      <c r="K8" s="3" t="s">
        <v>141</v>
      </c>
      <c r="L8" s="3" t="s">
        <v>25</v>
      </c>
      <c r="M8" s="3" t="s">
        <v>25</v>
      </c>
      <c r="N8" s="3" t="s">
        <v>141</v>
      </c>
      <c r="O8" s="3"/>
      <c r="P8" s="3" t="s">
        <v>76</v>
      </c>
      <c r="Q8" s="3"/>
      <c r="R8" s="3">
        <v>2</v>
      </c>
      <c r="S8" s="3" t="s">
        <v>18</v>
      </c>
      <c r="T8" s="3" t="s">
        <v>171</v>
      </c>
      <c r="U8" s="3" t="s">
        <v>172</v>
      </c>
    </row>
    <row r="9" spans="1:21" ht="34.200000000000003" customHeight="1" x14ac:dyDescent="0.3">
      <c r="A9" s="4" t="s">
        <v>173</v>
      </c>
      <c r="B9" s="4" t="s">
        <v>37</v>
      </c>
      <c r="C9" s="4" t="s">
        <v>17</v>
      </c>
      <c r="D9" s="4" t="s">
        <v>139</v>
      </c>
      <c r="E9" s="4">
        <v>1.5</v>
      </c>
      <c r="F9" s="4" t="s">
        <v>46</v>
      </c>
      <c r="G9" s="4" t="s">
        <v>174</v>
      </c>
      <c r="H9" s="4" t="s">
        <v>159</v>
      </c>
      <c r="I9" s="4" t="s">
        <v>140</v>
      </c>
      <c r="J9" s="4" t="s">
        <v>140</v>
      </c>
      <c r="K9" s="4" t="s">
        <v>141</v>
      </c>
      <c r="L9" s="4" t="s">
        <v>140</v>
      </c>
      <c r="M9" s="4" t="s">
        <v>140</v>
      </c>
      <c r="N9" s="4" t="s">
        <v>140</v>
      </c>
      <c r="O9" s="4"/>
      <c r="P9" s="4" t="s">
        <v>175</v>
      </c>
      <c r="Q9" s="4"/>
      <c r="R9" s="4">
        <v>4</v>
      </c>
      <c r="S9" s="4" t="s">
        <v>22</v>
      </c>
      <c r="T9" s="4" t="s">
        <v>176</v>
      </c>
      <c r="U9" s="4" t="s">
        <v>177</v>
      </c>
    </row>
    <row r="10" spans="1:21" ht="22.8" customHeight="1" x14ac:dyDescent="0.3">
      <c r="A10" s="3" t="s">
        <v>178</v>
      </c>
      <c r="B10" s="3" t="s">
        <v>37</v>
      </c>
      <c r="C10" s="3" t="s">
        <v>19</v>
      </c>
      <c r="D10" s="3" t="s">
        <v>139</v>
      </c>
      <c r="E10" s="3">
        <v>4</v>
      </c>
      <c r="F10" s="3" t="s">
        <v>48</v>
      </c>
      <c r="G10" s="3" t="s">
        <v>174</v>
      </c>
      <c r="H10" s="3" t="s">
        <v>25</v>
      </c>
      <c r="I10" s="3" t="s">
        <v>140</v>
      </c>
      <c r="J10" s="3" t="s">
        <v>141</v>
      </c>
      <c r="K10" s="3" t="s">
        <v>141</v>
      </c>
      <c r="L10" s="3" t="s">
        <v>25</v>
      </c>
      <c r="M10" s="3" t="s">
        <v>141</v>
      </c>
      <c r="N10" s="3" t="s">
        <v>141</v>
      </c>
      <c r="O10" s="3" t="s">
        <v>179</v>
      </c>
      <c r="P10" s="3" t="s">
        <v>180</v>
      </c>
      <c r="Q10" s="3"/>
      <c r="R10" s="3">
        <v>3</v>
      </c>
      <c r="S10" s="3" t="s">
        <v>20</v>
      </c>
      <c r="T10" s="3" t="s">
        <v>181</v>
      </c>
      <c r="U10" s="3" t="s">
        <v>182</v>
      </c>
    </row>
    <row r="11" spans="1:21" ht="34.200000000000003" customHeight="1" x14ac:dyDescent="0.3">
      <c r="A11" s="4" t="s">
        <v>183</v>
      </c>
      <c r="B11" s="4" t="s">
        <v>37</v>
      </c>
      <c r="C11" s="4" t="s">
        <v>19</v>
      </c>
      <c r="D11" s="4" t="s">
        <v>139</v>
      </c>
      <c r="E11" s="4">
        <v>0</v>
      </c>
      <c r="F11" s="4" t="s">
        <v>43</v>
      </c>
      <c r="G11" s="4" t="s">
        <v>43</v>
      </c>
      <c r="H11" s="4" t="s">
        <v>25</v>
      </c>
      <c r="I11" s="4" t="s">
        <v>140</v>
      </c>
      <c r="J11" s="4" t="s">
        <v>140</v>
      </c>
      <c r="K11" s="4" t="s">
        <v>141</v>
      </c>
      <c r="L11" s="4" t="s">
        <v>25</v>
      </c>
      <c r="M11" s="4" t="s">
        <v>140</v>
      </c>
      <c r="N11" s="4" t="s">
        <v>140</v>
      </c>
      <c r="O11" s="4"/>
      <c r="P11" s="4" t="s">
        <v>184</v>
      </c>
      <c r="Q11" s="4"/>
      <c r="R11" s="4">
        <v>3</v>
      </c>
      <c r="S11" s="4" t="s">
        <v>20</v>
      </c>
      <c r="T11" s="4" t="s">
        <v>185</v>
      </c>
      <c r="U11" s="4" t="s">
        <v>186</v>
      </c>
    </row>
    <row r="12" spans="1:21" x14ac:dyDescent="0.3">
      <c r="A12" s="3" t="s">
        <v>187</v>
      </c>
      <c r="B12" s="3" t="s">
        <v>37</v>
      </c>
      <c r="C12" s="3" t="s">
        <v>23</v>
      </c>
      <c r="D12" s="3" t="s">
        <v>139</v>
      </c>
      <c r="E12" s="3">
        <v>20</v>
      </c>
      <c r="F12" s="3" t="s">
        <v>50</v>
      </c>
      <c r="G12" s="3" t="s">
        <v>188</v>
      </c>
      <c r="H12" s="3" t="s">
        <v>25</v>
      </c>
      <c r="I12" s="3" t="s">
        <v>140</v>
      </c>
      <c r="J12" s="3" t="s">
        <v>141</v>
      </c>
      <c r="K12" s="3" t="s">
        <v>141</v>
      </c>
      <c r="L12" s="3" t="s">
        <v>25</v>
      </c>
      <c r="M12" s="3" t="s">
        <v>25</v>
      </c>
      <c r="N12" s="3" t="s">
        <v>25</v>
      </c>
      <c r="O12" s="3"/>
      <c r="P12" s="3" t="s">
        <v>142</v>
      </c>
      <c r="Q12" s="3"/>
      <c r="R12" s="3">
        <v>2</v>
      </c>
      <c r="S12" s="3" t="s">
        <v>18</v>
      </c>
      <c r="T12" s="3" t="s">
        <v>78</v>
      </c>
      <c r="U12" s="3" t="s">
        <v>189</v>
      </c>
    </row>
    <row r="13" spans="1:21" ht="34.200000000000003" customHeight="1" x14ac:dyDescent="0.3">
      <c r="A13" s="4" t="s">
        <v>190</v>
      </c>
      <c r="B13" s="4" t="s">
        <v>37</v>
      </c>
      <c r="C13" s="4" t="s">
        <v>21</v>
      </c>
      <c r="D13" s="4" t="s">
        <v>139</v>
      </c>
      <c r="E13" s="4">
        <v>10</v>
      </c>
      <c r="F13" s="4" t="s">
        <v>50</v>
      </c>
      <c r="G13" s="4" t="s">
        <v>191</v>
      </c>
      <c r="H13" s="4" t="s">
        <v>25</v>
      </c>
      <c r="I13" s="4" t="s">
        <v>140</v>
      </c>
      <c r="J13" s="4" t="s">
        <v>140</v>
      </c>
      <c r="K13" s="4" t="s">
        <v>141</v>
      </c>
      <c r="L13" s="4" t="s">
        <v>25</v>
      </c>
      <c r="M13" s="4" t="s">
        <v>141</v>
      </c>
      <c r="N13" s="4" t="s">
        <v>141</v>
      </c>
      <c r="O13" s="4" t="s">
        <v>192</v>
      </c>
      <c r="P13" s="4" t="s">
        <v>193</v>
      </c>
      <c r="Q13" s="4" t="s">
        <v>141</v>
      </c>
      <c r="R13" s="4">
        <v>4</v>
      </c>
      <c r="S13" s="4" t="s">
        <v>22</v>
      </c>
      <c r="T13" s="4" t="s">
        <v>194</v>
      </c>
      <c r="U13" s="4" t="s">
        <v>195</v>
      </c>
    </row>
    <row r="14" spans="1:21" ht="34.200000000000003" customHeight="1" x14ac:dyDescent="0.3">
      <c r="A14" s="3" t="s">
        <v>196</v>
      </c>
      <c r="B14" s="3" t="s">
        <v>37</v>
      </c>
      <c r="C14" s="3" t="s">
        <v>21</v>
      </c>
      <c r="D14" s="3" t="s">
        <v>139</v>
      </c>
      <c r="E14" s="3"/>
      <c r="F14" s="3" t="s">
        <v>25</v>
      </c>
      <c r="G14" s="3" t="s">
        <v>25</v>
      </c>
      <c r="H14" s="3" t="s">
        <v>145</v>
      </c>
      <c r="I14" s="3" t="s">
        <v>141</v>
      </c>
      <c r="J14" s="3" t="s">
        <v>140</v>
      </c>
      <c r="K14" s="3" t="s">
        <v>141</v>
      </c>
      <c r="L14" s="3" t="s">
        <v>25</v>
      </c>
      <c r="M14" s="3" t="s">
        <v>140</v>
      </c>
      <c r="N14" s="3" t="s">
        <v>140</v>
      </c>
      <c r="O14" s="3"/>
      <c r="P14" s="3" t="s">
        <v>197</v>
      </c>
      <c r="Q14" s="3"/>
      <c r="R14" s="3">
        <v>4</v>
      </c>
      <c r="S14" s="3" t="s">
        <v>22</v>
      </c>
      <c r="T14" s="3" t="s">
        <v>37</v>
      </c>
      <c r="U14" s="3" t="s">
        <v>198</v>
      </c>
    </row>
    <row r="15" spans="1:21" ht="22.8" customHeight="1" x14ac:dyDescent="0.3">
      <c r="A15" s="4" t="s">
        <v>199</v>
      </c>
      <c r="B15" s="4" t="s">
        <v>37</v>
      </c>
      <c r="C15" s="4" t="s">
        <v>21</v>
      </c>
      <c r="D15" s="4" t="s">
        <v>139</v>
      </c>
      <c r="E15" s="4"/>
      <c r="F15" s="4" t="s">
        <v>25</v>
      </c>
      <c r="G15" s="4" t="s">
        <v>200</v>
      </c>
      <c r="H15" s="4" t="s">
        <v>145</v>
      </c>
      <c r="I15" s="4" t="s">
        <v>140</v>
      </c>
      <c r="J15" s="4" t="s">
        <v>140</v>
      </c>
      <c r="K15" s="4" t="s">
        <v>25</v>
      </c>
      <c r="L15" s="4" t="s">
        <v>25</v>
      </c>
      <c r="M15" s="4" t="s">
        <v>25</v>
      </c>
      <c r="N15" s="4" t="s">
        <v>25</v>
      </c>
      <c r="O15" s="4"/>
      <c r="P15" s="4" t="s">
        <v>197</v>
      </c>
      <c r="Q15" s="4"/>
      <c r="R15" s="4">
        <v>3</v>
      </c>
      <c r="S15" s="4" t="s">
        <v>20</v>
      </c>
      <c r="T15" s="4" t="s">
        <v>37</v>
      </c>
      <c r="U15" s="4" t="s">
        <v>201</v>
      </c>
    </row>
    <row r="16" spans="1:21" ht="22.8" customHeight="1" x14ac:dyDescent="0.3">
      <c r="A16" s="3" t="s">
        <v>202</v>
      </c>
      <c r="B16" s="3" t="s">
        <v>37</v>
      </c>
      <c r="C16" s="3" t="s">
        <v>25</v>
      </c>
      <c r="D16" s="3" t="s">
        <v>25</v>
      </c>
      <c r="E16" s="3">
        <v>0.2</v>
      </c>
      <c r="F16" s="3" t="s">
        <v>44</v>
      </c>
      <c r="G16" s="3" t="s">
        <v>203</v>
      </c>
      <c r="H16" s="3" t="s">
        <v>25</v>
      </c>
      <c r="I16" s="3" t="s">
        <v>140</v>
      </c>
      <c r="J16" s="3" t="s">
        <v>141</v>
      </c>
      <c r="K16" s="3" t="s">
        <v>25</v>
      </c>
      <c r="L16" s="3" t="s">
        <v>25</v>
      </c>
      <c r="M16" s="3" t="s">
        <v>25</v>
      </c>
      <c r="N16" s="3" t="s">
        <v>25</v>
      </c>
      <c r="O16" s="3"/>
      <c r="P16" s="3" t="s">
        <v>142</v>
      </c>
      <c r="Q16" s="3"/>
      <c r="R16" s="3"/>
      <c r="S16" s="3" t="s">
        <v>25</v>
      </c>
      <c r="T16" s="3" t="s">
        <v>78</v>
      </c>
      <c r="U16" s="3" t="s">
        <v>204</v>
      </c>
    </row>
    <row r="17" spans="1:21" ht="34.200000000000003" customHeight="1" x14ac:dyDescent="0.3">
      <c r="A17" s="4" t="s">
        <v>205</v>
      </c>
      <c r="B17" s="4" t="s">
        <v>37</v>
      </c>
      <c r="C17" s="4" t="s">
        <v>19</v>
      </c>
      <c r="D17" s="4" t="s">
        <v>153</v>
      </c>
      <c r="E17" s="4">
        <v>6</v>
      </c>
      <c r="F17" s="4" t="s">
        <v>48</v>
      </c>
      <c r="G17" s="4" t="s">
        <v>158</v>
      </c>
      <c r="H17" s="4" t="s">
        <v>206</v>
      </c>
      <c r="I17" s="4" t="s">
        <v>140</v>
      </c>
      <c r="J17" s="4" t="s">
        <v>141</v>
      </c>
      <c r="K17" s="4" t="s">
        <v>141</v>
      </c>
      <c r="L17" s="4" t="s">
        <v>141</v>
      </c>
      <c r="M17" s="4" t="s">
        <v>25</v>
      </c>
      <c r="N17" s="4" t="s">
        <v>25</v>
      </c>
      <c r="O17" s="4"/>
      <c r="P17" s="4" t="s">
        <v>207</v>
      </c>
      <c r="Q17" s="4"/>
      <c r="R17" s="4">
        <v>3</v>
      </c>
      <c r="S17" s="4" t="s">
        <v>20</v>
      </c>
      <c r="T17" s="4" t="s">
        <v>208</v>
      </c>
      <c r="U17" s="4" t="s">
        <v>209</v>
      </c>
    </row>
    <row r="18" spans="1:21" ht="22.8" customHeight="1" x14ac:dyDescent="0.3">
      <c r="A18" s="3" t="s">
        <v>210</v>
      </c>
      <c r="B18" s="3" t="s">
        <v>37</v>
      </c>
      <c r="C18" s="3" t="s">
        <v>17</v>
      </c>
      <c r="D18" s="3" t="s">
        <v>153</v>
      </c>
      <c r="E18" s="3">
        <v>3.5</v>
      </c>
      <c r="F18" s="3" t="s">
        <v>48</v>
      </c>
      <c r="G18" s="3" t="s">
        <v>211</v>
      </c>
      <c r="H18" s="3" t="s">
        <v>159</v>
      </c>
      <c r="I18" s="3" t="s">
        <v>141</v>
      </c>
      <c r="J18" s="3" t="s">
        <v>140</v>
      </c>
      <c r="K18" s="3" t="s">
        <v>141</v>
      </c>
      <c r="L18" s="3" t="s">
        <v>25</v>
      </c>
      <c r="M18" s="3" t="s">
        <v>141</v>
      </c>
      <c r="N18" s="3" t="s">
        <v>25</v>
      </c>
      <c r="O18" s="3" t="s">
        <v>212</v>
      </c>
      <c r="P18" s="3" t="s">
        <v>197</v>
      </c>
      <c r="Q18" s="3"/>
      <c r="R18" s="3">
        <v>4</v>
      </c>
      <c r="S18" s="3" t="s">
        <v>22</v>
      </c>
      <c r="T18" s="3" t="s">
        <v>37</v>
      </c>
      <c r="U18" s="3" t="s">
        <v>213</v>
      </c>
    </row>
    <row r="19" spans="1:21" ht="34.200000000000003" customHeight="1" x14ac:dyDescent="0.3">
      <c r="A19" s="4" t="s">
        <v>214</v>
      </c>
      <c r="B19" s="4" t="s">
        <v>37</v>
      </c>
      <c r="C19" s="4" t="s">
        <v>21</v>
      </c>
      <c r="D19" s="4" t="s">
        <v>153</v>
      </c>
      <c r="E19" s="4">
        <v>15</v>
      </c>
      <c r="F19" s="4" t="s">
        <v>50</v>
      </c>
      <c r="G19" s="4" t="s">
        <v>215</v>
      </c>
      <c r="H19" s="4" t="s">
        <v>25</v>
      </c>
      <c r="I19" s="4" t="s">
        <v>140</v>
      </c>
      <c r="J19" s="4" t="s">
        <v>140</v>
      </c>
      <c r="K19" s="4" t="s">
        <v>141</v>
      </c>
      <c r="L19" s="4" t="s">
        <v>25</v>
      </c>
      <c r="M19" s="4" t="s">
        <v>25</v>
      </c>
      <c r="N19" s="4" t="s">
        <v>25</v>
      </c>
      <c r="O19" s="4"/>
      <c r="P19" s="4" t="s">
        <v>216</v>
      </c>
      <c r="Q19" s="4"/>
      <c r="R19" s="4">
        <v>4</v>
      </c>
      <c r="S19" s="4" t="s">
        <v>22</v>
      </c>
      <c r="T19" s="4" t="s">
        <v>37</v>
      </c>
      <c r="U19" s="4" t="s">
        <v>217</v>
      </c>
    </row>
    <row r="20" spans="1:21" ht="34.200000000000003" customHeight="1" x14ac:dyDescent="0.3">
      <c r="A20" s="3" t="s">
        <v>218</v>
      </c>
      <c r="B20" s="3" t="s">
        <v>37</v>
      </c>
      <c r="C20" s="3" t="s">
        <v>19</v>
      </c>
      <c r="D20" s="3" t="s">
        <v>139</v>
      </c>
      <c r="E20" s="3">
        <v>4</v>
      </c>
      <c r="F20" s="3" t="s">
        <v>48</v>
      </c>
      <c r="G20" s="3" t="s">
        <v>219</v>
      </c>
      <c r="H20" s="3" t="s">
        <v>25</v>
      </c>
      <c r="I20" s="3" t="s">
        <v>140</v>
      </c>
      <c r="J20" s="3" t="s">
        <v>141</v>
      </c>
      <c r="K20" s="3" t="s">
        <v>141</v>
      </c>
      <c r="L20" s="3" t="s">
        <v>25</v>
      </c>
      <c r="M20" s="3" t="s">
        <v>141</v>
      </c>
      <c r="N20" s="3" t="s">
        <v>141</v>
      </c>
      <c r="O20" s="3" t="s">
        <v>220</v>
      </c>
      <c r="P20" s="3" t="s">
        <v>221</v>
      </c>
      <c r="Q20" s="3"/>
      <c r="R20" s="3">
        <v>5</v>
      </c>
      <c r="S20" s="3" t="s">
        <v>24</v>
      </c>
      <c r="T20" s="3" t="s">
        <v>222</v>
      </c>
      <c r="U20" s="3" t="s">
        <v>223</v>
      </c>
    </row>
    <row r="21" spans="1:21" ht="34.200000000000003" customHeight="1" x14ac:dyDescent="0.3">
      <c r="A21" s="4" t="s">
        <v>224</v>
      </c>
      <c r="B21" s="4" t="s">
        <v>37</v>
      </c>
      <c r="C21" s="4" t="s">
        <v>19</v>
      </c>
      <c r="D21" s="4" t="s">
        <v>153</v>
      </c>
      <c r="E21" s="4">
        <v>0</v>
      </c>
      <c r="F21" s="4" t="s">
        <v>43</v>
      </c>
      <c r="G21" s="4" t="s">
        <v>225</v>
      </c>
      <c r="H21" s="4" t="s">
        <v>25</v>
      </c>
      <c r="I21" s="4" t="s">
        <v>140</v>
      </c>
      <c r="J21" s="4" t="s">
        <v>140</v>
      </c>
      <c r="K21" s="4" t="s">
        <v>25</v>
      </c>
      <c r="L21" s="4" t="s">
        <v>25</v>
      </c>
      <c r="M21" s="4" t="s">
        <v>140</v>
      </c>
      <c r="N21" s="4" t="s">
        <v>140</v>
      </c>
      <c r="O21" s="4"/>
      <c r="P21" s="4" t="s">
        <v>226</v>
      </c>
      <c r="Q21" s="4"/>
      <c r="R21" s="4">
        <v>3</v>
      </c>
      <c r="S21" s="4" t="s">
        <v>20</v>
      </c>
      <c r="T21" s="4" t="s">
        <v>37</v>
      </c>
      <c r="U21" s="4" t="s">
        <v>227</v>
      </c>
    </row>
    <row r="22" spans="1:21" ht="22.8" customHeight="1" x14ac:dyDescent="0.3">
      <c r="A22" s="3" t="s">
        <v>228</v>
      </c>
      <c r="B22" s="3" t="s">
        <v>37</v>
      </c>
      <c r="C22" s="3" t="s">
        <v>19</v>
      </c>
      <c r="D22" s="3" t="s">
        <v>139</v>
      </c>
      <c r="E22" s="3"/>
      <c r="F22" s="3" t="s">
        <v>25</v>
      </c>
      <c r="G22" s="3" t="s">
        <v>164</v>
      </c>
      <c r="H22" s="3" t="s">
        <v>25</v>
      </c>
      <c r="I22" s="3" t="s">
        <v>140</v>
      </c>
      <c r="J22" s="3" t="s">
        <v>141</v>
      </c>
      <c r="K22" s="3" t="s">
        <v>141</v>
      </c>
      <c r="L22" s="3" t="s">
        <v>140</v>
      </c>
      <c r="M22" s="3" t="s">
        <v>140</v>
      </c>
      <c r="N22" s="3" t="s">
        <v>140</v>
      </c>
      <c r="O22" s="3"/>
      <c r="P22" s="3" t="s">
        <v>142</v>
      </c>
      <c r="Q22" s="3"/>
      <c r="R22" s="3">
        <v>3</v>
      </c>
      <c r="S22" s="3" t="s">
        <v>20</v>
      </c>
      <c r="T22" s="3" t="s">
        <v>229</v>
      </c>
      <c r="U22" s="3" t="s">
        <v>230</v>
      </c>
    </row>
    <row r="23" spans="1:21" ht="34.200000000000003" customHeight="1" x14ac:dyDescent="0.3">
      <c r="A23" s="4" t="s">
        <v>231</v>
      </c>
      <c r="B23" s="4" t="s">
        <v>37</v>
      </c>
      <c r="C23" s="4" t="s">
        <v>17</v>
      </c>
      <c r="D23" s="4" t="s">
        <v>139</v>
      </c>
      <c r="E23" s="4">
        <v>0.5</v>
      </c>
      <c r="F23" s="4" t="s">
        <v>44</v>
      </c>
      <c r="G23" s="4" t="s">
        <v>203</v>
      </c>
      <c r="H23" s="4" t="s">
        <v>25</v>
      </c>
      <c r="I23" s="4" t="s">
        <v>140</v>
      </c>
      <c r="J23" s="4" t="s">
        <v>141</v>
      </c>
      <c r="K23" s="4" t="s">
        <v>25</v>
      </c>
      <c r="L23" s="4" t="s">
        <v>140</v>
      </c>
      <c r="M23" s="4" t="s">
        <v>140</v>
      </c>
      <c r="N23" s="4" t="s">
        <v>140</v>
      </c>
      <c r="O23" s="4"/>
      <c r="P23" s="4" t="s">
        <v>232</v>
      </c>
      <c r="Q23" s="4"/>
      <c r="R23" s="4">
        <v>3</v>
      </c>
      <c r="S23" s="4" t="s">
        <v>20</v>
      </c>
      <c r="T23" s="4" t="s">
        <v>208</v>
      </c>
      <c r="U23" s="4" t="s">
        <v>233</v>
      </c>
    </row>
    <row r="24" spans="1:21" ht="22.8" customHeight="1" x14ac:dyDescent="0.3">
      <c r="A24" s="3" t="s">
        <v>234</v>
      </c>
      <c r="B24" s="3" t="s">
        <v>37</v>
      </c>
      <c r="C24" s="3" t="s">
        <v>21</v>
      </c>
      <c r="D24" s="3" t="s">
        <v>139</v>
      </c>
      <c r="E24" s="3">
        <v>0</v>
      </c>
      <c r="F24" s="3" t="s">
        <v>43</v>
      </c>
      <c r="G24" s="3" t="s">
        <v>43</v>
      </c>
      <c r="H24" s="3" t="s">
        <v>25</v>
      </c>
      <c r="I24" s="3" t="s">
        <v>140</v>
      </c>
      <c r="J24" s="3" t="s">
        <v>140</v>
      </c>
      <c r="K24" s="3" t="s">
        <v>25</v>
      </c>
      <c r="L24" s="3" t="s">
        <v>25</v>
      </c>
      <c r="M24" s="3" t="s">
        <v>25</v>
      </c>
      <c r="N24" s="3" t="s">
        <v>25</v>
      </c>
      <c r="O24" s="3"/>
      <c r="P24" s="3" t="s">
        <v>184</v>
      </c>
      <c r="Q24" s="3"/>
      <c r="R24" s="3">
        <v>3</v>
      </c>
      <c r="S24" s="3" t="s">
        <v>20</v>
      </c>
      <c r="T24" s="3" t="s">
        <v>37</v>
      </c>
      <c r="U24" s="3" t="s">
        <v>235</v>
      </c>
    </row>
    <row r="25" spans="1:21" ht="34.200000000000003" customHeight="1" x14ac:dyDescent="0.3">
      <c r="A25" s="4" t="s">
        <v>236</v>
      </c>
      <c r="B25" s="4" t="s">
        <v>37</v>
      </c>
      <c r="C25" s="4" t="s">
        <v>21</v>
      </c>
      <c r="D25" s="4" t="s">
        <v>139</v>
      </c>
      <c r="E25" s="4">
        <v>3.5</v>
      </c>
      <c r="F25" s="4" t="s">
        <v>48</v>
      </c>
      <c r="G25" s="4" t="s">
        <v>237</v>
      </c>
      <c r="H25" s="4" t="s">
        <v>159</v>
      </c>
      <c r="I25" s="4" t="s">
        <v>141</v>
      </c>
      <c r="J25" s="4" t="s">
        <v>140</v>
      </c>
      <c r="K25" s="4" t="s">
        <v>25</v>
      </c>
      <c r="L25" s="4" t="s">
        <v>25</v>
      </c>
      <c r="M25" s="4" t="s">
        <v>141</v>
      </c>
      <c r="N25" s="4" t="s">
        <v>140</v>
      </c>
      <c r="O25" s="4" t="s">
        <v>238</v>
      </c>
      <c r="P25" s="4" t="s">
        <v>239</v>
      </c>
      <c r="Q25" s="4"/>
      <c r="R25" s="4">
        <v>3</v>
      </c>
      <c r="S25" s="4" t="s">
        <v>20</v>
      </c>
      <c r="T25" s="4" t="s">
        <v>240</v>
      </c>
      <c r="U25" s="4" t="s">
        <v>241</v>
      </c>
    </row>
    <row r="26" spans="1:21" ht="22.8" customHeight="1" x14ac:dyDescent="0.3">
      <c r="A26" s="3" t="s">
        <v>242</v>
      </c>
      <c r="B26" s="3" t="s">
        <v>37</v>
      </c>
      <c r="C26" s="3" t="s">
        <v>19</v>
      </c>
      <c r="D26" s="3" t="s">
        <v>139</v>
      </c>
      <c r="E26" s="3">
        <v>0.4</v>
      </c>
      <c r="F26" s="3" t="s">
        <v>44</v>
      </c>
      <c r="G26" s="3" t="s">
        <v>243</v>
      </c>
      <c r="H26" s="3" t="s">
        <v>25</v>
      </c>
      <c r="I26" s="3" t="s">
        <v>140</v>
      </c>
      <c r="J26" s="3" t="s">
        <v>141</v>
      </c>
      <c r="K26" s="3" t="s">
        <v>141</v>
      </c>
      <c r="L26" s="3" t="s">
        <v>140</v>
      </c>
      <c r="M26" s="3" t="s">
        <v>141</v>
      </c>
      <c r="N26" s="3" t="s">
        <v>25</v>
      </c>
      <c r="O26" s="3" t="s">
        <v>244</v>
      </c>
      <c r="P26" s="3" t="s">
        <v>245</v>
      </c>
      <c r="Q26" s="3"/>
      <c r="R26" s="3">
        <v>3</v>
      </c>
      <c r="S26" s="3" t="s">
        <v>20</v>
      </c>
      <c r="T26" s="3" t="s">
        <v>246</v>
      </c>
      <c r="U26" s="3" t="s">
        <v>247</v>
      </c>
    </row>
    <row r="27" spans="1:21" ht="34.200000000000003" customHeight="1" x14ac:dyDescent="0.3">
      <c r="A27" s="4" t="s">
        <v>248</v>
      </c>
      <c r="B27" s="4" t="s">
        <v>37</v>
      </c>
      <c r="C27" s="4" t="s">
        <v>19</v>
      </c>
      <c r="D27" s="4" t="s">
        <v>139</v>
      </c>
      <c r="E27" s="4">
        <v>1</v>
      </c>
      <c r="F27" s="4" t="s">
        <v>46</v>
      </c>
      <c r="G27" s="4" t="s">
        <v>164</v>
      </c>
      <c r="H27" s="4" t="s">
        <v>159</v>
      </c>
      <c r="I27" s="4" t="s">
        <v>141</v>
      </c>
      <c r="J27" s="4" t="s">
        <v>140</v>
      </c>
      <c r="K27" s="4" t="s">
        <v>141</v>
      </c>
      <c r="L27" s="4" t="s">
        <v>140</v>
      </c>
      <c r="M27" s="4" t="s">
        <v>25</v>
      </c>
      <c r="N27" s="4" t="s">
        <v>25</v>
      </c>
      <c r="O27" s="4"/>
      <c r="P27" s="4" t="s">
        <v>66</v>
      </c>
      <c r="Q27" s="4"/>
      <c r="R27" s="4">
        <v>4</v>
      </c>
      <c r="S27" s="4" t="s">
        <v>22</v>
      </c>
      <c r="T27" s="4" t="s">
        <v>37</v>
      </c>
      <c r="U27" s="4" t="s">
        <v>249</v>
      </c>
    </row>
    <row r="28" spans="1:21" ht="34.200000000000003" customHeight="1" x14ac:dyDescent="0.3">
      <c r="A28" s="3" t="s">
        <v>250</v>
      </c>
      <c r="B28" s="3" t="s">
        <v>37</v>
      </c>
      <c r="C28" s="3" t="s">
        <v>21</v>
      </c>
      <c r="D28" s="3" t="s">
        <v>139</v>
      </c>
      <c r="E28" s="3">
        <v>1</v>
      </c>
      <c r="F28" s="3" t="s">
        <v>46</v>
      </c>
      <c r="G28" s="3" t="s">
        <v>203</v>
      </c>
      <c r="H28" s="3" t="s">
        <v>25</v>
      </c>
      <c r="I28" s="3" t="s">
        <v>140</v>
      </c>
      <c r="J28" s="3" t="s">
        <v>141</v>
      </c>
      <c r="K28" s="3" t="s">
        <v>25</v>
      </c>
      <c r="L28" s="3" t="s">
        <v>140</v>
      </c>
      <c r="M28" s="3" t="s">
        <v>140</v>
      </c>
      <c r="N28" s="3" t="s">
        <v>140</v>
      </c>
      <c r="O28" s="3"/>
      <c r="P28" s="3" t="s">
        <v>251</v>
      </c>
      <c r="Q28" s="3"/>
      <c r="R28" s="3">
        <v>3</v>
      </c>
      <c r="S28" s="3" t="s">
        <v>20</v>
      </c>
      <c r="T28" s="3" t="s">
        <v>252</v>
      </c>
      <c r="U28" s="3" t="s">
        <v>253</v>
      </c>
    </row>
    <row r="29" spans="1:21" ht="22.8" customHeight="1" x14ac:dyDescent="0.3">
      <c r="A29" s="4" t="s">
        <v>254</v>
      </c>
      <c r="B29" s="4" t="s">
        <v>37</v>
      </c>
      <c r="C29" s="4" t="s">
        <v>19</v>
      </c>
      <c r="D29" s="4" t="s">
        <v>139</v>
      </c>
      <c r="E29" s="4">
        <v>4</v>
      </c>
      <c r="F29" s="4" t="s">
        <v>48</v>
      </c>
      <c r="G29" s="4" t="s">
        <v>255</v>
      </c>
      <c r="H29" s="4" t="s">
        <v>256</v>
      </c>
      <c r="I29" s="4" t="s">
        <v>140</v>
      </c>
      <c r="J29" s="4" t="s">
        <v>140</v>
      </c>
      <c r="K29" s="4" t="s">
        <v>141</v>
      </c>
      <c r="L29" s="4" t="s">
        <v>140</v>
      </c>
      <c r="M29" s="4" t="s">
        <v>140</v>
      </c>
      <c r="N29" s="4" t="s">
        <v>140</v>
      </c>
      <c r="O29" s="4"/>
      <c r="P29" s="4" t="s">
        <v>66</v>
      </c>
      <c r="Q29" s="4"/>
      <c r="R29" s="4">
        <v>3</v>
      </c>
      <c r="S29" s="4" t="s">
        <v>20</v>
      </c>
      <c r="T29" s="4" t="s">
        <v>37</v>
      </c>
      <c r="U29" s="4" t="s">
        <v>257</v>
      </c>
    </row>
    <row r="30" spans="1:21" ht="34.200000000000003" customHeight="1" x14ac:dyDescent="0.3">
      <c r="A30" s="3" t="s">
        <v>258</v>
      </c>
      <c r="B30" s="3" t="s">
        <v>37</v>
      </c>
      <c r="C30" s="3" t="s">
        <v>19</v>
      </c>
      <c r="D30" s="3" t="s">
        <v>139</v>
      </c>
      <c r="E30" s="3">
        <v>1</v>
      </c>
      <c r="F30" s="3" t="s">
        <v>46</v>
      </c>
      <c r="G30" s="3" t="s">
        <v>259</v>
      </c>
      <c r="H30" s="3" t="s">
        <v>25</v>
      </c>
      <c r="I30" s="3" t="s">
        <v>140</v>
      </c>
      <c r="J30" s="3" t="s">
        <v>140</v>
      </c>
      <c r="K30" s="3" t="s">
        <v>141</v>
      </c>
      <c r="L30" s="3" t="s">
        <v>140</v>
      </c>
      <c r="M30" s="3" t="s">
        <v>25</v>
      </c>
      <c r="N30" s="3" t="s">
        <v>25</v>
      </c>
      <c r="O30" s="3"/>
      <c r="P30" s="3" t="s">
        <v>260</v>
      </c>
      <c r="Q30" s="3"/>
      <c r="R30" s="3">
        <v>3</v>
      </c>
      <c r="S30" s="3" t="s">
        <v>20</v>
      </c>
      <c r="T30" s="3" t="s">
        <v>176</v>
      </c>
      <c r="U30" s="3" t="s">
        <v>261</v>
      </c>
    </row>
    <row r="31" spans="1:21" ht="34.200000000000003" customHeight="1" x14ac:dyDescent="0.3">
      <c r="A31" s="4" t="s">
        <v>262</v>
      </c>
      <c r="B31" s="4" t="s">
        <v>37</v>
      </c>
      <c r="C31" s="4" t="s">
        <v>21</v>
      </c>
      <c r="D31" s="4" t="s">
        <v>139</v>
      </c>
      <c r="E31" s="4">
        <v>0</v>
      </c>
      <c r="F31" s="4" t="s">
        <v>43</v>
      </c>
      <c r="G31" s="4" t="s">
        <v>43</v>
      </c>
      <c r="H31" s="4" t="s">
        <v>25</v>
      </c>
      <c r="I31" s="4" t="s">
        <v>140</v>
      </c>
      <c r="J31" s="4" t="s">
        <v>140</v>
      </c>
      <c r="K31" s="4" t="s">
        <v>141</v>
      </c>
      <c r="L31" s="4" t="s">
        <v>25</v>
      </c>
      <c r="M31" s="4" t="s">
        <v>141</v>
      </c>
      <c r="N31" s="4" t="s">
        <v>141</v>
      </c>
      <c r="O31" s="4" t="s">
        <v>263</v>
      </c>
      <c r="P31" s="4" t="s">
        <v>264</v>
      </c>
      <c r="Q31" s="4" t="s">
        <v>141</v>
      </c>
      <c r="R31" s="4">
        <v>4</v>
      </c>
      <c r="S31" s="4" t="s">
        <v>22</v>
      </c>
      <c r="T31" s="4" t="s">
        <v>194</v>
      </c>
      <c r="U31" s="4" t="s">
        <v>265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2"/>
  <sheetViews>
    <sheetView tabSelected="1" topLeftCell="A20" zoomScaleNormal="100" workbookViewId="0">
      <selection sqref="A1:I1"/>
    </sheetView>
  </sheetViews>
  <sheetFormatPr defaultColWidth="8.6640625" defaultRowHeight="14.4" x14ac:dyDescent="0.3"/>
  <cols>
    <col min="1" max="1" width="34" customWidth="1"/>
    <col min="2" max="2" width="10" customWidth="1"/>
    <col min="3" max="3" width="8" customWidth="1"/>
    <col min="4" max="4" width="32" customWidth="1"/>
    <col min="5" max="5" width="2" customWidth="1"/>
    <col min="6" max="6" width="34" customWidth="1"/>
    <col min="7" max="7" width="10" customWidth="1"/>
    <col min="8" max="8" width="8" customWidth="1"/>
    <col min="9" max="9" width="32" customWidth="1"/>
  </cols>
  <sheetData>
    <row r="1" spans="1:9" ht="19.95" customHeight="1" x14ac:dyDescent="0.3">
      <c r="A1" s="26" t="s">
        <v>0</v>
      </c>
      <c r="B1" s="19"/>
      <c r="C1" s="19"/>
      <c r="D1" s="19"/>
      <c r="E1" s="19"/>
      <c r="F1" s="19"/>
      <c r="G1" s="19"/>
      <c r="H1" s="19"/>
      <c r="I1" s="19"/>
    </row>
    <row r="2" spans="1:9" x14ac:dyDescent="0.3">
      <c r="A2" s="21" t="s">
        <v>1</v>
      </c>
      <c r="B2" s="19"/>
      <c r="C2" s="19"/>
      <c r="D2" s="19"/>
      <c r="E2" s="19"/>
      <c r="F2" s="19"/>
      <c r="G2" s="19"/>
      <c r="H2" s="19"/>
      <c r="I2" s="19"/>
    </row>
    <row r="4" spans="1:9" x14ac:dyDescent="0.3">
      <c r="A4" s="24" t="s">
        <v>2</v>
      </c>
      <c r="B4" s="19"/>
      <c r="C4" s="19"/>
      <c r="D4" s="19"/>
      <c r="E4" s="19"/>
      <c r="F4" s="19"/>
      <c r="G4" s="19"/>
      <c r="H4" s="19"/>
      <c r="I4" s="19"/>
    </row>
    <row r="5" spans="1:9" ht="25.95" customHeigh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</row>
    <row r="6" spans="1:9" ht="25.95" customHeight="1" x14ac:dyDescent="0.3">
      <c r="A6" s="18" t="s">
        <v>4</v>
      </c>
      <c r="B6" s="19"/>
      <c r="C6" s="19"/>
      <c r="D6" s="19"/>
      <c r="E6" s="19"/>
      <c r="F6" s="19"/>
      <c r="G6" s="19"/>
      <c r="H6" s="19"/>
      <c r="I6" s="19"/>
    </row>
    <row r="7" spans="1:9" ht="25.95" customHeight="1" x14ac:dyDescent="0.3">
      <c r="A7" s="18" t="s">
        <v>5</v>
      </c>
      <c r="B7" s="19"/>
      <c r="C7" s="19"/>
      <c r="D7" s="19"/>
      <c r="E7" s="19"/>
      <c r="F7" s="19"/>
      <c r="G7" s="19"/>
      <c r="H7" s="19"/>
      <c r="I7" s="19"/>
    </row>
    <row r="8" spans="1:9" ht="25.95" customHeight="1" x14ac:dyDescent="0.3">
      <c r="A8" s="18" t="s">
        <v>6</v>
      </c>
      <c r="B8" s="19"/>
      <c r="C8" s="19"/>
      <c r="D8" s="19"/>
      <c r="E8" s="19"/>
      <c r="F8" s="19"/>
      <c r="G8" s="19"/>
      <c r="H8" s="19"/>
      <c r="I8" s="19"/>
    </row>
    <row r="9" spans="1:9" ht="25.95" customHeight="1" x14ac:dyDescent="0.3">
      <c r="A9" s="18" t="s">
        <v>7</v>
      </c>
      <c r="B9" s="19"/>
      <c r="C9" s="19"/>
      <c r="D9" s="19"/>
      <c r="E9" s="19"/>
      <c r="F9" s="19"/>
      <c r="G9" s="19"/>
      <c r="H9" s="19"/>
      <c r="I9" s="19"/>
    </row>
    <row r="11" spans="1:9" x14ac:dyDescent="0.3">
      <c r="A11" s="23" t="s">
        <v>8</v>
      </c>
      <c r="B11" s="19"/>
      <c r="C11" s="19"/>
      <c r="D11" s="19"/>
      <c r="F11" s="23" t="s">
        <v>9</v>
      </c>
      <c r="G11" s="19"/>
      <c r="H11" s="19"/>
      <c r="I11" s="19"/>
    </row>
    <row r="13" spans="1:9" x14ac:dyDescent="0.3">
      <c r="A13" s="8" t="s">
        <v>10</v>
      </c>
      <c r="F13" s="8" t="s">
        <v>11</v>
      </c>
    </row>
    <row r="14" spans="1:9" x14ac:dyDescent="0.3">
      <c r="A14" s="9" t="s">
        <v>12</v>
      </c>
      <c r="B14" s="9" t="s">
        <v>13</v>
      </c>
      <c r="C14" s="9" t="s">
        <v>14</v>
      </c>
      <c r="F14" s="9" t="s">
        <v>15</v>
      </c>
      <c r="G14" s="9" t="s">
        <v>13</v>
      </c>
      <c r="H14" s="9" t="s">
        <v>14</v>
      </c>
    </row>
    <row r="15" spans="1:9" x14ac:dyDescent="0.3">
      <c r="A15" s="10" t="s">
        <v>16</v>
      </c>
      <c r="B15" s="10">
        <f>COUNTIF('Raw Data'!$R$2:$R$31,1)</f>
        <v>4</v>
      </c>
      <c r="C15" s="11">
        <f>B15/COUNTA('Raw Data'!$A$2:$A$31)</f>
        <v>0.13333333333333333</v>
      </c>
      <c r="F15" s="10" t="s">
        <v>17</v>
      </c>
      <c r="G15" s="10">
        <f>COUNTIF('Raw Data'!$C$2:$C$31,"Under 20")</f>
        <v>4</v>
      </c>
      <c r="H15" s="11">
        <f>G15/COUNTA('Raw Data'!$A$2:$A$31)</f>
        <v>0.13333333333333333</v>
      </c>
    </row>
    <row r="16" spans="1:9" x14ac:dyDescent="0.3">
      <c r="A16" s="10" t="s">
        <v>18</v>
      </c>
      <c r="B16" s="10">
        <f>COUNTIF('Raw Data'!$R$2:$R$31,2)</f>
        <v>2</v>
      </c>
      <c r="C16" s="11">
        <f>B16/COUNTA('Raw Data'!$A$2:$A$31)</f>
        <v>6.6666666666666666E-2</v>
      </c>
      <c r="F16" s="10" t="s">
        <v>19</v>
      </c>
      <c r="G16" s="10">
        <f>COUNTIF('Raw Data'!$C$2:$C$31,"20-29")</f>
        <v>14</v>
      </c>
      <c r="H16" s="11">
        <f>G16/COUNTA('Raw Data'!$A$2:$A$31)</f>
        <v>0.46666666666666667</v>
      </c>
    </row>
    <row r="17" spans="1:8" x14ac:dyDescent="0.3">
      <c r="A17" s="10" t="s">
        <v>20</v>
      </c>
      <c r="B17" s="10">
        <f>COUNTIF('Raw Data'!$R$2:$R$31,3)</f>
        <v>15</v>
      </c>
      <c r="C17" s="11">
        <f>B17/COUNTA('Raw Data'!$A$2:$A$31)</f>
        <v>0.5</v>
      </c>
      <c r="F17" s="10" t="s">
        <v>21</v>
      </c>
      <c r="G17" s="10">
        <f>COUNTIF('Raw Data'!$C$2:$C$31,"30-39")</f>
        <v>8</v>
      </c>
      <c r="H17" s="11">
        <f>G17/COUNTA('Raw Data'!$A$2:$A$31)</f>
        <v>0.26666666666666666</v>
      </c>
    </row>
    <row r="18" spans="1:8" x14ac:dyDescent="0.3">
      <c r="A18" s="10" t="s">
        <v>22</v>
      </c>
      <c r="B18" s="10">
        <f>COUNTIF('Raw Data'!$R$2:$R$31,4)</f>
        <v>7</v>
      </c>
      <c r="C18" s="11">
        <f>B18/COUNTA('Raw Data'!$A$2:$A$31)</f>
        <v>0.23333333333333334</v>
      </c>
      <c r="F18" s="10" t="s">
        <v>23</v>
      </c>
      <c r="G18" s="10">
        <f>COUNTIF('Raw Data'!$C$2:$C$31,"40+")</f>
        <v>3</v>
      </c>
      <c r="H18" s="11">
        <f>G18/COUNTA('Raw Data'!$A$2:$A$31)</f>
        <v>0.1</v>
      </c>
    </row>
    <row r="19" spans="1:8" x14ac:dyDescent="0.3">
      <c r="A19" s="10" t="s">
        <v>24</v>
      </c>
      <c r="B19" s="10">
        <f>COUNTIF('Raw Data'!$R$2:$R$31,5)</f>
        <v>1</v>
      </c>
      <c r="C19" s="11">
        <f>B19/COUNTA('Raw Data'!$A$2:$A$31)</f>
        <v>3.3333333333333333E-2</v>
      </c>
      <c r="F19" s="10" t="s">
        <v>25</v>
      </c>
      <c r="G19" s="10">
        <f>COUNTIF('Raw Data'!$C$2:$C$31,"Unknown")</f>
        <v>1</v>
      </c>
      <c r="H19" s="11">
        <f>G19/COUNTA('Raw Data'!$A$2:$A$31)</f>
        <v>3.3333333333333333E-2</v>
      </c>
    </row>
    <row r="20" spans="1:8" x14ac:dyDescent="0.3">
      <c r="A20" s="10" t="s">
        <v>26</v>
      </c>
      <c r="B20" s="10">
        <f>COUNTA('Raw Data'!$A$2:$A$31)-COUNT('Raw Data'!$R$2:$R$31)</f>
        <v>1</v>
      </c>
      <c r="C20" s="11">
        <f>B20/COUNTA('Raw Data'!$A$2:$A$31)</f>
        <v>3.3333333333333333E-2</v>
      </c>
    </row>
    <row r="21" spans="1:8" x14ac:dyDescent="0.3">
      <c r="A21" s="8" t="s">
        <v>27</v>
      </c>
      <c r="B21" s="12">
        <f>COUNTIF('Raw Data'!$R$2:$R$31,"&gt;=3")/COUNTA('Raw Data'!$A$2:$A$31)</f>
        <v>0.76666666666666672</v>
      </c>
      <c r="D21" s="1" t="s">
        <v>28</v>
      </c>
      <c r="F21" s="8" t="s">
        <v>29</v>
      </c>
    </row>
    <row r="22" spans="1:8" x14ac:dyDescent="0.3">
      <c r="F22" s="9" t="s">
        <v>29</v>
      </c>
      <c r="G22" s="9" t="s">
        <v>13</v>
      </c>
      <c r="H22" s="9" t="s">
        <v>14</v>
      </c>
    </row>
    <row r="23" spans="1:8" x14ac:dyDescent="0.3">
      <c r="A23" s="8" t="s">
        <v>30</v>
      </c>
      <c r="F23" s="10" t="s">
        <v>31</v>
      </c>
      <c r="G23" s="10">
        <f>COUNTIF('Raw Data'!$D$2:$D$31,"M")</f>
        <v>23</v>
      </c>
      <c r="H23" s="11">
        <f>G23/COUNTA('Raw Data'!$A$2:$A$31)</f>
        <v>0.76666666666666672</v>
      </c>
    </row>
    <row r="24" spans="1:8" x14ac:dyDescent="0.3">
      <c r="A24" s="9" t="s">
        <v>32</v>
      </c>
      <c r="B24" s="9" t="s">
        <v>33</v>
      </c>
      <c r="F24" s="10" t="s">
        <v>34</v>
      </c>
      <c r="G24" s="10">
        <f>COUNTIF('Raw Data'!$D$2:$D$31,"F")</f>
        <v>6</v>
      </c>
      <c r="H24" s="11">
        <f>G24/COUNTA('Raw Data'!$A$2:$A$31)</f>
        <v>0.2</v>
      </c>
    </row>
    <row r="25" spans="1:8" x14ac:dyDescent="0.3">
      <c r="A25" s="10" t="s">
        <v>35</v>
      </c>
      <c r="B25" s="13">
        <f>IFERROR(AVERAGEIFS('Raw Data'!$R$2:$R$31,'Raw Data'!$B$2:$B$31,"Friend"),"n/a")</f>
        <v>1</v>
      </c>
      <c r="F25" s="10" t="s">
        <v>25</v>
      </c>
      <c r="G25" s="10">
        <f>COUNTIF('Raw Data'!$D$2:$D$31,"Unknown")</f>
        <v>1</v>
      </c>
      <c r="H25" s="11">
        <f>G25/COUNTA('Raw Data'!$A$2:$A$31)</f>
        <v>3.3333333333333333E-2</v>
      </c>
    </row>
    <row r="26" spans="1:8" x14ac:dyDescent="0.3">
      <c r="A26" s="10" t="s">
        <v>36</v>
      </c>
      <c r="B26" s="13">
        <f>IFERROR(AVERAGEIFS('Raw Data'!$R$2:$R$31,'Raw Data'!$B$2:$B$31,"Telegram"),"n/a")</f>
        <v>1</v>
      </c>
    </row>
    <row r="27" spans="1:8" x14ac:dyDescent="0.3">
      <c r="A27" s="10" t="s">
        <v>37</v>
      </c>
      <c r="B27" s="13">
        <f>IFERROR(AVERAGEIFS('Raw Data'!$R$2:$R$31,'Raw Data'!$B$2:$B$31,"Reddit"),"n/a")</f>
        <v>3.28</v>
      </c>
      <c r="F27" s="8" t="s">
        <v>38</v>
      </c>
    </row>
    <row r="28" spans="1:8" x14ac:dyDescent="0.3">
      <c r="A28" s="14" t="s">
        <v>39</v>
      </c>
      <c r="B28" s="15">
        <f>AVERAGEIFS('Raw Data'!$R$2:$R$31,'Raw Data'!$J$2:$J$31,"Yes")</f>
        <v>2.4285714285714284</v>
      </c>
      <c r="F28" s="9" t="s">
        <v>40</v>
      </c>
      <c r="G28" s="9" t="s">
        <v>13</v>
      </c>
      <c r="H28" s="9" t="s">
        <v>14</v>
      </c>
    </row>
    <row r="29" spans="1:8" x14ac:dyDescent="0.3">
      <c r="A29" s="8" t="s">
        <v>41</v>
      </c>
      <c r="B29" s="16">
        <f>AVERAGEIFS('Raw Data'!$R$2:$R$31,'Raw Data'!$J$2:$J$31,"No")</f>
        <v>3.4666666666666668</v>
      </c>
      <c r="D29" s="1" t="s">
        <v>42</v>
      </c>
      <c r="F29" s="10" t="s">
        <v>43</v>
      </c>
      <c r="G29" s="10">
        <f>COUNTIF('Raw Data'!$F$2:$F$31,"Never played")</f>
        <v>4</v>
      </c>
      <c r="H29" s="11">
        <f>G29/COUNTA('Raw Data'!$A$2:$A$31)</f>
        <v>0.13333333333333333</v>
      </c>
    </row>
    <row r="30" spans="1:8" x14ac:dyDescent="0.3">
      <c r="F30" s="10" t="s">
        <v>44</v>
      </c>
      <c r="G30" s="10">
        <f>COUNTIF('Raw Data'!$F$2:$F$31,"&lt;1 yr")</f>
        <v>3</v>
      </c>
      <c r="H30" s="11">
        <f>G30/COUNTA('Raw Data'!$A$2:$A$31)</f>
        <v>0.1</v>
      </c>
    </row>
    <row r="31" spans="1:8" x14ac:dyDescent="0.3">
      <c r="A31" s="8" t="s">
        <v>45</v>
      </c>
      <c r="F31" s="10" t="s">
        <v>46</v>
      </c>
      <c r="G31" s="10">
        <f>COUNTIF('Raw Data'!$F$2:$F$31,"1-3 yrs")</f>
        <v>6</v>
      </c>
      <c r="H31" s="11">
        <f>G31/COUNTA('Raw Data'!$A$2:$A$31)</f>
        <v>0.2</v>
      </c>
    </row>
    <row r="32" spans="1:8" x14ac:dyDescent="0.3">
      <c r="A32" s="9" t="s">
        <v>47</v>
      </c>
      <c r="B32" s="9" t="s">
        <v>13</v>
      </c>
      <c r="C32" s="9" t="s">
        <v>14</v>
      </c>
      <c r="F32" s="10" t="s">
        <v>48</v>
      </c>
      <c r="G32" s="10">
        <f>COUNTIF('Raw Data'!$F$2:$F$31,"4-9 yrs")</f>
        <v>6</v>
      </c>
      <c r="H32" s="11">
        <f>G32/COUNTA('Raw Data'!$A$2:$A$31)</f>
        <v>0.2</v>
      </c>
    </row>
    <row r="33" spans="1:9" x14ac:dyDescent="0.3">
      <c r="A33" s="10" t="s">
        <v>49</v>
      </c>
      <c r="B33" s="10">
        <f>COUNTIF('Raw Data'!$M$2:$M$31,"Yes")</f>
        <v>8</v>
      </c>
      <c r="C33" s="11">
        <f>B33/COUNTA('Raw Data'!$A$2:$A$31)</f>
        <v>0.26666666666666666</v>
      </c>
      <c r="F33" s="10" t="s">
        <v>50</v>
      </c>
      <c r="G33" s="10">
        <f>COUNTIF('Raw Data'!$F$2:$F$31,"10+ yrs")</f>
        <v>4</v>
      </c>
      <c r="H33" s="11">
        <f>G33/COUNTA('Raw Data'!$A$2:$A$31)</f>
        <v>0.13333333333333333</v>
      </c>
    </row>
    <row r="34" spans="1:9" x14ac:dyDescent="0.3">
      <c r="A34" s="10" t="s">
        <v>51</v>
      </c>
      <c r="B34" s="10">
        <f>COUNTIF('Raw Data'!$N$2:$N$31,"Yes")</f>
        <v>5</v>
      </c>
      <c r="C34" s="11">
        <f>B34/COUNTA('Raw Data'!$A$2:$A$31)</f>
        <v>0.16666666666666666</v>
      </c>
      <c r="F34" s="10" t="s">
        <v>25</v>
      </c>
      <c r="G34" s="10">
        <f>COUNTIF('Raw Data'!$F$2:$F$31,"Unknown")</f>
        <v>7</v>
      </c>
      <c r="H34" s="11">
        <f>G34/COUNTA('Raw Data'!$A$2:$A$31)</f>
        <v>0.23333333333333334</v>
      </c>
    </row>
    <row r="35" spans="1:9" x14ac:dyDescent="0.3">
      <c r="A35" s="10" t="s">
        <v>52</v>
      </c>
      <c r="B35" s="10">
        <f>COUNTIFS('Raw Data'!$M$2:$M$31,"No",'Raw Data'!$N$2:$N$31,"No")</f>
        <v>8</v>
      </c>
      <c r="C35" s="11">
        <f>B35/COUNTA('Raw Data'!$A$2:$A$31)</f>
        <v>0.26666666666666666</v>
      </c>
      <c r="F35" s="8" t="s">
        <v>53</v>
      </c>
      <c r="G35" s="12">
        <f>COUNTIF('Raw Data'!$I$2:$I$31,"Yes")/COUNTA('Raw Data'!$A$2:$A$31)</f>
        <v>0.13333333333333333</v>
      </c>
      <c r="I35" s="1" t="s">
        <v>54</v>
      </c>
    </row>
    <row r="36" spans="1:9" x14ac:dyDescent="0.3">
      <c r="A36" s="10" t="s">
        <v>55</v>
      </c>
      <c r="B36" s="10">
        <f>SUMPRODUCT(--('Raw Data'!$O$2:$O$31&lt;&gt;""))</f>
        <v>8</v>
      </c>
      <c r="C36" s="11">
        <f>B36/COUNTA('Raw Data'!$A$2:$A$31)</f>
        <v>0.26666666666666666</v>
      </c>
      <c r="F36" s="8" t="s">
        <v>56</v>
      </c>
      <c r="G36" s="8">
        <f>SUMPRODUCT(--ISNUMBER(SEARCH("never played",'Raw Data'!$F$2:$F$31)))+SUMPRODUCT(--ISNUMBER(SEARCH("rusty",'Raw Data'!$G$2:$G$31)))+SUMPRODUCT(--ISNUMBER(SEARCH("lapsed",'Raw Data'!$G$2:$G$31)))+SUMPRODUCT(--ISNUMBER(SEARCH("returner",'Raw Data'!$G$2:$G$31)))</f>
        <v>11</v>
      </c>
      <c r="I36" s="1" t="s">
        <v>57</v>
      </c>
    </row>
    <row r="37" spans="1:9" ht="22.05" customHeight="1" x14ac:dyDescent="0.3">
      <c r="A37" s="25" t="s">
        <v>58</v>
      </c>
      <c r="B37" s="19"/>
      <c r="C37" s="19"/>
      <c r="D37" s="19"/>
    </row>
    <row r="38" spans="1:9" x14ac:dyDescent="0.3">
      <c r="F38" s="23" t="s">
        <v>59</v>
      </c>
      <c r="G38" s="19"/>
      <c r="H38" s="19"/>
      <c r="I38" s="19"/>
    </row>
    <row r="39" spans="1:9" x14ac:dyDescent="0.3">
      <c r="A39" s="8" t="s">
        <v>60</v>
      </c>
    </row>
    <row r="40" spans="1:9" x14ac:dyDescent="0.3">
      <c r="A40" s="9" t="s">
        <v>61</v>
      </c>
      <c r="B40" s="9" t="s">
        <v>13</v>
      </c>
      <c r="C40" s="9" t="s">
        <v>14</v>
      </c>
      <c r="F40" s="9" t="s">
        <v>62</v>
      </c>
      <c r="G40" s="9" t="s">
        <v>63</v>
      </c>
      <c r="H40" s="9" t="s">
        <v>64</v>
      </c>
    </row>
    <row r="41" spans="1:9" x14ac:dyDescent="0.3">
      <c r="A41" s="10" t="s">
        <v>65</v>
      </c>
      <c r="B41" s="10">
        <f>SUMPRODUCT(--((('Raw Data'!$M$2:$M$31="Yes")+('Raw Data'!$N$2:$N$31="Yes"))&gt;0))</f>
        <v>9</v>
      </c>
      <c r="C41" s="11">
        <f>B41/COUNTA('Raw Data'!$A$2:$A$31)</f>
        <v>0.3</v>
      </c>
      <c r="F41" s="10" t="s">
        <v>66</v>
      </c>
      <c r="G41" s="10">
        <f>SUMPRODUCT(--ISNUMBER(SEARCH("Hard to find games",'Raw Data'!$P$2:$P$31)))</f>
        <v>20</v>
      </c>
      <c r="H41" s="11">
        <f>G41/COUNTA('Raw Data'!$A$2:$A$31)</f>
        <v>0.66666666666666663</v>
      </c>
    </row>
    <row r="42" spans="1:9" x14ac:dyDescent="0.3">
      <c r="A42" s="10" t="s">
        <v>67</v>
      </c>
      <c r="B42" s="10">
        <f>COUNTIFS('Raw Data'!$M$2:$M$31,"No",'Raw Data'!$N$2:$N$31,"No")</f>
        <v>8</v>
      </c>
      <c r="C42" s="11">
        <f>B42/COUNTA('Raw Data'!$A$2:$A$31)</f>
        <v>0.26666666666666666</v>
      </c>
      <c r="F42" s="10" t="s">
        <v>68</v>
      </c>
      <c r="G42" s="10">
        <f>SUMPRODUCT(--ISNUMBER(SEARCH("No friends who play",'Raw Data'!$P$2:$P$31)))</f>
        <v>9</v>
      </c>
      <c r="H42" s="11">
        <f>G42/COUNTA('Raw Data'!$A$2:$A$31)</f>
        <v>0.3</v>
      </c>
    </row>
    <row r="43" spans="1:9" x14ac:dyDescent="0.3">
      <c r="A43" s="10" t="s">
        <v>69</v>
      </c>
      <c r="B43" s="10">
        <f>COUNTA('Raw Data'!$A$2:$A$31)-B41-B42</f>
        <v>13</v>
      </c>
      <c r="C43" s="11">
        <f>B43/COUNTA('Raw Data'!$A$2:$A$31)</f>
        <v>0.43333333333333335</v>
      </c>
      <c r="F43" s="10" t="s">
        <v>70</v>
      </c>
      <c r="G43" s="10">
        <f>SUMPRODUCT(--ISNUMBER(SEARCH("Timing mismatch",'Raw Data'!$P$2:$P$31)))</f>
        <v>8</v>
      </c>
      <c r="H43" s="11">
        <f>G43/COUNTA('Raw Data'!$A$2:$A$31)</f>
        <v>0.26666666666666666</v>
      </c>
    </row>
    <row r="44" spans="1:9" x14ac:dyDescent="0.3">
      <c r="F44" s="10" t="s">
        <v>71</v>
      </c>
      <c r="G44" s="10">
        <f>SUMPRODUCT(--ISNUMBER(SEARCH("Court booking barriers",'Raw Data'!$P$2:$P$31)))</f>
        <v>7</v>
      </c>
      <c r="H44" s="11">
        <f>G44/COUNTA('Raw Data'!$A$2:$A$31)</f>
        <v>0.23333333333333334</v>
      </c>
    </row>
    <row r="45" spans="1:9" x14ac:dyDescent="0.3">
      <c r="A45" s="8" t="s">
        <v>72</v>
      </c>
      <c r="F45" s="10" t="s">
        <v>73</v>
      </c>
      <c r="G45" s="10">
        <f>SUMPRODUCT(--ISNUMBER(SEARCH("Beginner-unfriendly scene",'Raw Data'!$P$2:$P$31)))</f>
        <v>6</v>
      </c>
      <c r="H45" s="11">
        <f>G45/COUNTA('Raw Data'!$A$2:$A$31)</f>
        <v>0.2</v>
      </c>
    </row>
    <row r="46" spans="1:9" x14ac:dyDescent="0.3">
      <c r="A46" s="9" t="s">
        <v>74</v>
      </c>
      <c r="B46" s="9" t="s">
        <v>13</v>
      </c>
      <c r="C46" s="9" t="s">
        <v>14</v>
      </c>
      <c r="F46" s="10" t="s">
        <v>75</v>
      </c>
      <c r="G46" s="10">
        <f>SUMPRODUCT(--ISNUMBER(SEARCH("Vague skill standards",'Raw Data'!$P$2:$P$31)))</f>
        <v>4</v>
      </c>
      <c r="H46" s="11">
        <f>G46/COUNTA('Raw Data'!$A$2:$A$31)</f>
        <v>0.13333333333333333</v>
      </c>
    </row>
    <row r="47" spans="1:9" x14ac:dyDescent="0.3">
      <c r="A47" s="10" t="s">
        <v>37</v>
      </c>
      <c r="B47" s="10">
        <f>SUMPRODUCT(--ISNUMBER(SEARCH("Reddit",'Raw Data'!$T$2:$T$31)))</f>
        <v>20</v>
      </c>
      <c r="C47" s="11">
        <f>B47/COUNTA('Raw Data'!$A$2:$A$31)</f>
        <v>0.66666666666666663</v>
      </c>
      <c r="F47" s="10" t="s">
        <v>76</v>
      </c>
      <c r="G47" s="10">
        <f>SUMPRODUCT(--ISNUMBER(SEARCH("Group chats inactive/invite-only",'Raw Data'!$P$2:$P$31)))</f>
        <v>3</v>
      </c>
      <c r="H47" s="11">
        <f>G47/COUNTA('Raw Data'!$A$2:$A$31)</f>
        <v>0.1</v>
      </c>
    </row>
    <row r="48" spans="1:9" x14ac:dyDescent="0.3">
      <c r="A48" s="10" t="s">
        <v>36</v>
      </c>
      <c r="B48" s="10">
        <f>SUMPRODUCT(--ISNUMBER(SEARCH("Telegram",'Raw Data'!$T$2:$T$31)))</f>
        <v>8</v>
      </c>
      <c r="C48" s="11">
        <f>B48/COUNTA('Raw Data'!$A$2:$A$31)</f>
        <v>0.26666666666666666</v>
      </c>
      <c r="F48" s="10" t="s">
        <v>77</v>
      </c>
      <c r="G48" s="10">
        <f>SUMPRODUCT(--ISNUMBER(SEARCH("Not enough players for 12",'Raw Data'!$P$2:$P$31)))</f>
        <v>3</v>
      </c>
      <c r="H48" s="11">
        <f>G48/COUNTA('Raw Data'!$A$2:$A$31)</f>
        <v>0.1</v>
      </c>
    </row>
    <row r="49" spans="1:9" x14ac:dyDescent="0.3">
      <c r="A49" s="10" t="s">
        <v>78</v>
      </c>
      <c r="B49" s="10">
        <f>SUMPRODUCT(--ISNUMBER(SEARCH("Friends/own circle",'Raw Data'!$T$2:$T$31)))</f>
        <v>12</v>
      </c>
      <c r="C49" s="11">
        <f>B49/COUNTA('Raw Data'!$A$2:$A$31)</f>
        <v>0.4</v>
      </c>
      <c r="F49" s="10" t="s">
        <v>79</v>
      </c>
      <c r="G49" s="10">
        <f>SUMPRODUCT(--ISNUMBER(SEARCH("Apps lack volleyball games",'Raw Data'!$P$2:$P$31)))</f>
        <v>3</v>
      </c>
      <c r="H49" s="11">
        <f>G49/COUNTA('Raw Data'!$A$2:$A$31)</f>
        <v>0.1</v>
      </c>
    </row>
    <row r="50" spans="1:9" x14ac:dyDescent="0.3">
      <c r="A50" s="10" t="s">
        <v>80</v>
      </c>
      <c r="B50" s="10">
        <f>SUMPRODUCT(--ISNUMBER(SEARCH("Meetup",'Raw Data'!$T$2:$T$31)))</f>
        <v>7</v>
      </c>
      <c r="C50" s="11">
        <f>B50/COUNTA('Raw Data'!$A$2:$A$31)</f>
        <v>0.23333333333333334</v>
      </c>
      <c r="F50" s="10" t="s">
        <v>81</v>
      </c>
      <c r="G50" s="10">
        <f>SUMPRODUCT(--ISNUMBER(SEARCH("Location inconvenient",'Raw Data'!$P$2:$P$31)))</f>
        <v>3</v>
      </c>
      <c r="H50" s="11">
        <f>G50/COUNTA('Raw Data'!$A$2:$A$31)</f>
        <v>0.1</v>
      </c>
    </row>
    <row r="51" spans="1:9" x14ac:dyDescent="0.3">
      <c r="A51" s="10" t="s">
        <v>82</v>
      </c>
      <c r="B51" s="10">
        <f>SUMPRODUCT(--ISNUMBER(SEARCH("ReClub",'Raw Data'!$T$2:$T$31)))</f>
        <v>5</v>
      </c>
      <c r="C51" s="11">
        <f>B51/COUNTA('Raw Data'!$A$2:$A$31)</f>
        <v>0.16666666666666666</v>
      </c>
      <c r="F51" s="10" t="s">
        <v>83</v>
      </c>
      <c r="G51" s="10">
        <f>SUMPRODUCT(--ISNUMBER(SEARCH("Indoor courts scarce",'Raw Data'!$P$2:$P$31)))</f>
        <v>2</v>
      </c>
      <c r="H51" s="11">
        <f>G51/COUNTA('Raw Data'!$A$2:$A$31)</f>
        <v>6.6666666666666666E-2</v>
      </c>
    </row>
    <row r="52" spans="1:9" x14ac:dyDescent="0.3">
      <c r="A52" s="10" t="s">
        <v>84</v>
      </c>
      <c r="B52" s="10">
        <f>SUMPRODUCT(--ISNUMBER(SEARCH("WhatsApp",'Raw Data'!$T$2:$T$31)))</f>
        <v>2</v>
      </c>
      <c r="C52" s="11">
        <f>B52/COUNTA('Raw Data'!$A$2:$A$31)</f>
        <v>6.6666666666666666E-2</v>
      </c>
    </row>
    <row r="53" spans="1:9" x14ac:dyDescent="0.3">
      <c r="A53" s="10" t="s">
        <v>85</v>
      </c>
      <c r="B53" s="10">
        <f>SUMPRODUCT(--ISNUMBER(SEARCH("ASIG",'Raw Data'!$T$2:$T$31)))</f>
        <v>1</v>
      </c>
      <c r="C53" s="11">
        <f>B53/COUNTA('Raw Data'!$A$2:$A$31)</f>
        <v>3.3333333333333333E-2</v>
      </c>
      <c r="F53" s="8" t="s">
        <v>86</v>
      </c>
    </row>
    <row r="54" spans="1:9" x14ac:dyDescent="0.3">
      <c r="A54" s="10" t="s">
        <v>87</v>
      </c>
      <c r="B54" s="10">
        <f>SUMPRODUCT(--ISNUMBER(SEARCH("Google",'Raw Data'!$T$2:$T$31)))</f>
        <v>1</v>
      </c>
      <c r="C54" s="11">
        <f>B54/COUNTA('Raw Data'!$A$2:$A$31)</f>
        <v>3.3333333333333333E-2</v>
      </c>
      <c r="F54" s="8" t="s">
        <v>88</v>
      </c>
      <c r="G54" s="8">
        <f>COUNTIF('Raw Data'!$L$2:$L$31,"Yes")</f>
        <v>3</v>
      </c>
    </row>
    <row r="55" spans="1:9" x14ac:dyDescent="0.3">
      <c r="A55" s="10" t="s">
        <v>89</v>
      </c>
      <c r="B55" s="10">
        <f>SUMPRODUCT(--ISNUMBER(SEARCH("XHS",'Raw Data'!$T$2:$T$31)))</f>
        <v>1</v>
      </c>
      <c r="C55" s="11">
        <f>B55/COUNTA('Raw Data'!$A$2:$A$31)</f>
        <v>3.3333333333333333E-2</v>
      </c>
      <c r="F55" s="14" t="s">
        <v>90</v>
      </c>
      <c r="G55" s="14">
        <f>COUNTIF('Raw Data'!$L$2:$L$31,"No")</f>
        <v>8</v>
      </c>
      <c r="I55" s="1" t="s">
        <v>91</v>
      </c>
    </row>
    <row r="56" spans="1:9" x14ac:dyDescent="0.3">
      <c r="A56" s="10" t="s">
        <v>92</v>
      </c>
      <c r="B56" s="10">
        <f>SUMPRODUCT(--ISNUMBER(SEARCH("Facebook",'Raw Data'!$T$2:$T$31)))</f>
        <v>0</v>
      </c>
      <c r="C56" s="11">
        <f>B56/COUNTA('Raw Data'!$A$2:$A$31)</f>
        <v>0</v>
      </c>
      <c r="F56" s="8" t="s">
        <v>93</v>
      </c>
      <c r="G56" s="12">
        <f>COUNTIF('Raw Data'!$K$2:$K$31,"Yes")/COUNTA('Raw Data'!$A$2:$A$31)</f>
        <v>0.6333333333333333</v>
      </c>
      <c r="I56" s="1" t="s">
        <v>94</v>
      </c>
    </row>
    <row r="57" spans="1:9" ht="22.05" customHeight="1" x14ac:dyDescent="0.3">
      <c r="A57" s="14" t="s">
        <v>95</v>
      </c>
      <c r="B57" s="14">
        <v>7</v>
      </c>
      <c r="D57" s="17" t="s">
        <v>96</v>
      </c>
      <c r="F57" s="14" t="s">
        <v>97</v>
      </c>
      <c r="G57" s="14">
        <f>COUNTIF('Raw Data'!$Q$2:$Q$31,"Yes")</f>
        <v>3</v>
      </c>
      <c r="I57" s="1" t="s">
        <v>98</v>
      </c>
    </row>
    <row r="59" spans="1:9" x14ac:dyDescent="0.3">
      <c r="A59" s="23" t="s">
        <v>99</v>
      </c>
      <c r="B59" s="19"/>
      <c r="C59" s="19"/>
      <c r="D59" s="19"/>
    </row>
    <row r="61" spans="1:9" x14ac:dyDescent="0.3">
      <c r="A61" s="8" t="s">
        <v>100</v>
      </c>
    </row>
    <row r="62" spans="1:9" x14ac:dyDescent="0.3">
      <c r="A62" s="9" t="s">
        <v>101</v>
      </c>
      <c r="B62" s="9" t="s">
        <v>102</v>
      </c>
    </row>
    <row r="63" spans="1:9" x14ac:dyDescent="0.3">
      <c r="A63" s="10" t="s">
        <v>103</v>
      </c>
      <c r="B63" s="13">
        <f>AVERAGEIFS('Raw Data'!$R$2:$R$31,'Raw Data'!$J$2:$J$31,"No")</f>
        <v>3.4666666666666668</v>
      </c>
    </row>
    <row r="64" spans="1:9" x14ac:dyDescent="0.3">
      <c r="A64" s="10" t="s">
        <v>104</v>
      </c>
      <c r="B64" s="13">
        <f>AVERAGEIFS('Raw Data'!$R$2:$R$31,'Raw Data'!$J$2:$J$31,"Yes")</f>
        <v>2.4285714285714284</v>
      </c>
    </row>
    <row r="65" spans="1:9" x14ac:dyDescent="0.3">
      <c r="A65" s="10" t="s">
        <v>105</v>
      </c>
      <c r="B65" s="13">
        <f>AVERAGEIFS('Raw Data'!$R$2:$R$31,'Raw Data'!$I$2:$I$31,"Yes")</f>
        <v>3.75</v>
      </c>
    </row>
    <row r="66" spans="1:9" x14ac:dyDescent="0.3">
      <c r="A66" s="10" t="s">
        <v>106</v>
      </c>
      <c r="B66" s="13">
        <f>IFERROR((SUMIFS('Raw Data'!$R$2:$R$31,'Raw Data'!$F$2:$F$31,"Never played")+SUMIFS('Raw Data'!$R$2:$R$31,'Raw Data'!$F$2:$F$31,"&lt;1 yr"))/(COUNTIFS('Raw Data'!$F$2:$F$31,"Never played",'Raw Data'!$R$2:$R$31,"&gt;=1")+COUNTIFS('Raw Data'!$F$2:$F$31,"&lt;1 yr",'Raw Data'!$R$2:$R$31,"&gt;=1")),"n/a")</f>
        <v>3.1666666666666665</v>
      </c>
    </row>
    <row r="67" spans="1:9" x14ac:dyDescent="0.3">
      <c r="A67" s="10" t="s">
        <v>107</v>
      </c>
      <c r="B67" s="13">
        <f>IFERROR((SUMIFS('Raw Data'!$R$2:$R$31,'Raw Data'!$F$2:$F$31,"4-9 yrs")+SUMIFS('Raw Data'!$R$2:$R$31,'Raw Data'!$F$2:$F$31,"10+ yrs"))/(COUNTIFS('Raw Data'!$F$2:$F$31,"4-9 yrs",'Raw Data'!$R$2:$R$31,"&gt;=1")+COUNTIFS('Raw Data'!$F$2:$F$31,"10+ yrs",'Raw Data'!$R$2:$R$31,"&gt;=1")),"n/a")</f>
        <v>3.2</v>
      </c>
    </row>
    <row r="68" spans="1:9" x14ac:dyDescent="0.3">
      <c r="A68" s="10" t="s">
        <v>108</v>
      </c>
      <c r="B68" s="13">
        <f>IFERROR((SUMIFS('Raw Data'!$R$2:$R$31,'Raw Data'!$B$2:$B$31,"Friend")+SUMIFS('Raw Data'!$R$2:$R$31,'Raw Data'!$B$2:$B$31,"Telegram"))/(COUNTIFS('Raw Data'!$B$2:$B$31,"Friend",'Raw Data'!$R$2:$R$31,"&gt;=1")+COUNTIFS('Raw Data'!$B$2:$B$31,"Telegram",'Raw Data'!$R$2:$R$31,"&gt;=1")),"n/a")</f>
        <v>1</v>
      </c>
    </row>
    <row r="69" spans="1:9" x14ac:dyDescent="0.3">
      <c r="A69" s="10" t="s">
        <v>109</v>
      </c>
      <c r="B69" s="13">
        <f>AVERAGEIFS('Raw Data'!$R$2:$R$31,'Raw Data'!$B$2:$B$31,"Reddit")</f>
        <v>3.28</v>
      </c>
    </row>
    <row r="71" spans="1:9" x14ac:dyDescent="0.3">
      <c r="A71" s="8" t="s">
        <v>110</v>
      </c>
    </row>
    <row r="72" spans="1:9" x14ac:dyDescent="0.3">
      <c r="A72" s="14" t="s">
        <v>111</v>
      </c>
      <c r="B72" s="14">
        <v>4</v>
      </c>
      <c r="D72" s="1" t="s">
        <v>112</v>
      </c>
    </row>
    <row r="73" spans="1:9" x14ac:dyDescent="0.3">
      <c r="A73" s="14" t="s">
        <v>113</v>
      </c>
      <c r="B73" s="14">
        <v>2</v>
      </c>
      <c r="D73" s="1" t="s">
        <v>114</v>
      </c>
    </row>
    <row r="76" spans="1:9" x14ac:dyDescent="0.3">
      <c r="A76" s="22" t="s">
        <v>115</v>
      </c>
      <c r="B76" s="19"/>
      <c r="C76" s="19"/>
      <c r="D76" s="19"/>
      <c r="E76" s="19"/>
      <c r="F76" s="19"/>
      <c r="G76" s="19"/>
      <c r="H76" s="19"/>
      <c r="I76" s="19"/>
    </row>
    <row r="77" spans="1:9" ht="19.95" customHeight="1" x14ac:dyDescent="0.3">
      <c r="A77" s="20" t="s">
        <v>116</v>
      </c>
      <c r="B77" s="19"/>
      <c r="C77" s="19"/>
      <c r="D77" s="19"/>
      <c r="E77" s="19"/>
      <c r="F77" s="19"/>
      <c r="G77" s="19"/>
      <c r="H77" s="19"/>
      <c r="I77" s="19"/>
    </row>
    <row r="78" spans="1:9" ht="19.95" customHeight="1" x14ac:dyDescent="0.3">
      <c r="A78" s="20" t="s">
        <v>117</v>
      </c>
      <c r="B78" s="19"/>
      <c r="C78" s="19"/>
      <c r="D78" s="19"/>
      <c r="E78" s="19"/>
      <c r="F78" s="19"/>
      <c r="G78" s="19"/>
      <c r="H78" s="19"/>
      <c r="I78" s="19"/>
    </row>
    <row r="79" spans="1:9" ht="19.95" customHeight="1" x14ac:dyDescent="0.3">
      <c r="A79" s="20" t="s">
        <v>118</v>
      </c>
      <c r="B79" s="19"/>
      <c r="C79" s="19"/>
      <c r="D79" s="19"/>
      <c r="E79" s="19"/>
      <c r="F79" s="19"/>
      <c r="G79" s="19"/>
      <c r="H79" s="19"/>
      <c r="I79" s="19"/>
    </row>
    <row r="80" spans="1:9" ht="19.95" customHeight="1" x14ac:dyDescent="0.3">
      <c r="A80" s="20" t="s">
        <v>119</v>
      </c>
      <c r="B80" s="19"/>
      <c r="C80" s="19"/>
      <c r="D80" s="19"/>
      <c r="E80" s="19"/>
      <c r="F80" s="19"/>
      <c r="G80" s="19"/>
      <c r="H80" s="19"/>
      <c r="I80" s="19"/>
    </row>
    <row r="81" spans="1:9" ht="19.95" customHeight="1" x14ac:dyDescent="0.3">
      <c r="A81" s="20" t="s">
        <v>120</v>
      </c>
      <c r="B81" s="19"/>
      <c r="C81" s="19"/>
      <c r="D81" s="19"/>
      <c r="E81" s="19"/>
      <c r="F81" s="19"/>
      <c r="G81" s="19"/>
      <c r="H81" s="19"/>
      <c r="I81" s="19"/>
    </row>
    <row r="82" spans="1:9" ht="19.95" customHeight="1" x14ac:dyDescent="0.3">
      <c r="A82" s="20" t="s">
        <v>121</v>
      </c>
      <c r="B82" s="19"/>
      <c r="C82" s="19"/>
      <c r="D82" s="19"/>
      <c r="E82" s="19"/>
      <c r="F82" s="19"/>
      <c r="G82" s="19"/>
      <c r="H82" s="19"/>
      <c r="I82" s="19"/>
    </row>
    <row r="127" ht="21.75" customHeight="1" x14ac:dyDescent="0.3"/>
    <row r="128" ht="21.75" customHeight="1" x14ac:dyDescent="0.3"/>
    <row r="129" ht="21.75" customHeight="1" x14ac:dyDescent="0.3"/>
    <row r="130" ht="21.75" customHeight="1" x14ac:dyDescent="0.3"/>
    <row r="131" ht="21.75" customHeight="1" x14ac:dyDescent="0.3"/>
    <row r="132" ht="21.75" customHeight="1" x14ac:dyDescent="0.3"/>
  </sheetData>
  <mergeCells count="20">
    <mergeCell ref="A1:I1"/>
    <mergeCell ref="F38:I38"/>
    <mergeCell ref="A79:I79"/>
    <mergeCell ref="A6:I6"/>
    <mergeCell ref="A78:I78"/>
    <mergeCell ref="A81:I81"/>
    <mergeCell ref="A9:I9"/>
    <mergeCell ref="A77:I77"/>
    <mergeCell ref="A82:I82"/>
    <mergeCell ref="A37:D37"/>
    <mergeCell ref="A7:I7"/>
    <mergeCell ref="A80:I80"/>
    <mergeCell ref="A2:I2"/>
    <mergeCell ref="A5:I5"/>
    <mergeCell ref="A76:I76"/>
    <mergeCell ref="F11:I11"/>
    <mergeCell ref="A59:D59"/>
    <mergeCell ref="A8:I8"/>
    <mergeCell ref="A11:D11"/>
    <mergeCell ref="A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showGridLines="0" topLeftCell="A11" zoomScale="69" zoomScaleNormal="100" workbookViewId="0">
      <selection activeCell="R12" sqref="R12"/>
    </sheetView>
  </sheetViews>
  <sheetFormatPr defaultColWidth="8.6640625" defaultRowHeight="14.4" x14ac:dyDescent="0.3"/>
  <sheetData>
    <row r="1" spans="1:9" ht="17.399999999999999" customHeight="1" x14ac:dyDescent="0.3">
      <c r="A1" s="5" t="s">
        <v>266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7" t="s">
        <v>267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cp:revision>1</cp:revision>
  <dcterms:created xsi:type="dcterms:W3CDTF">2026-07-14T05:25:53Z</dcterms:created>
  <dcterms:modified xsi:type="dcterms:W3CDTF">2026-07-23T11:25:41Z</dcterms:modified>
  <dc:language>en-US</dc:language>
</cp:coreProperties>
</file>